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PA Summer Meeting 2023\Fund Spreadsheet\230 State 2024\"/>
    </mc:Choice>
  </mc:AlternateContent>
  <xr:revisionPtr revIDLastSave="0" documentId="13_ncr:1_{00C242CB-4077-4F47-BE62-5771CC70EBE8}" xr6:coauthVersionLast="47" xr6:coauthVersionMax="47" xr10:uidLastSave="{00000000-0000-0000-0000-000000000000}"/>
  <bookViews>
    <workbookView xWindow="-108" yWindow="-108" windowWidth="23256" windowHeight="12456" activeTab="3" xr2:uid="{025DBE1E-3018-44F3-9114-7D1C98C8E240}"/>
  </bookViews>
  <sheets>
    <sheet name="Job1" sheetId="1" r:id="rId1"/>
    <sheet name="Job2A" sheetId="3" r:id="rId2"/>
    <sheet name="Job2B" sheetId="4" r:id="rId3"/>
    <sheet name="Char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D25" i="4"/>
  <c r="E25" i="4"/>
  <c r="F25" i="4"/>
  <c r="G25" i="4"/>
  <c r="B25" i="4"/>
  <c r="C14" i="4"/>
  <c r="D14" i="4"/>
  <c r="E14" i="4"/>
  <c r="F14" i="4"/>
  <c r="G14" i="4"/>
  <c r="B14" i="4"/>
  <c r="G24" i="4"/>
  <c r="F24" i="4"/>
  <c r="E24" i="4"/>
  <c r="D24" i="4"/>
  <c r="C24" i="4"/>
  <c r="B24" i="4"/>
  <c r="G23" i="4"/>
  <c r="F23" i="4"/>
  <c r="E23" i="4"/>
  <c r="D23" i="4"/>
  <c r="C23" i="4"/>
  <c r="B23" i="4"/>
  <c r="G13" i="4"/>
  <c r="F13" i="4"/>
  <c r="E13" i="4"/>
  <c r="D13" i="4"/>
  <c r="C13" i="4"/>
  <c r="B13" i="4"/>
  <c r="G12" i="4"/>
  <c r="F12" i="4"/>
  <c r="E12" i="4"/>
  <c r="D12" i="4"/>
  <c r="C12" i="4"/>
  <c r="B12" i="4"/>
  <c r="G23" i="3"/>
  <c r="F23" i="3"/>
  <c r="E23" i="3"/>
  <c r="D23" i="3"/>
  <c r="C23" i="3"/>
  <c r="B23" i="3"/>
  <c r="G22" i="3"/>
  <c r="F22" i="3"/>
  <c r="E22" i="3"/>
  <c r="D22" i="3"/>
  <c r="C22" i="3"/>
  <c r="B22" i="3"/>
  <c r="G13" i="3"/>
  <c r="F13" i="3"/>
  <c r="E13" i="3"/>
  <c r="D13" i="3"/>
  <c r="C13" i="3"/>
  <c r="B13" i="3"/>
  <c r="G12" i="3"/>
  <c r="F12" i="3"/>
  <c r="E12" i="3"/>
  <c r="D12" i="3"/>
  <c r="C12" i="3"/>
  <c r="B12" i="3"/>
  <c r="C23" i="1"/>
  <c r="D23" i="1"/>
  <c r="E23" i="1"/>
  <c r="F23" i="1"/>
  <c r="G23" i="1"/>
  <c r="B23" i="1"/>
  <c r="C13" i="1"/>
  <c r="D13" i="1"/>
  <c r="E13" i="1"/>
  <c r="F13" i="1"/>
  <c r="G13" i="1"/>
  <c r="B13" i="1"/>
  <c r="C22" i="1"/>
  <c r="D22" i="1"/>
  <c r="E22" i="1"/>
  <c r="F22" i="1"/>
  <c r="G22" i="1"/>
  <c r="B22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<sst xmlns="http://schemas.openxmlformats.org/spreadsheetml/2006/main" count="48" uniqueCount="15">
  <si>
    <t>SUPERIOR TRAVEL AGENCY</t>
  </si>
  <si>
    <t>Agent Sales Report</t>
  </si>
  <si>
    <t>Sales by Agent Per Month</t>
  </si>
  <si>
    <t>CRUISES</t>
  </si>
  <si>
    <t>Agent
1014</t>
  </si>
  <si>
    <t>Agent
1155</t>
  </si>
  <si>
    <t>Agent
1344</t>
  </si>
  <si>
    <t>Agent
1577</t>
  </si>
  <si>
    <t>Agent
1611</t>
  </si>
  <si>
    <t>Agent
1829</t>
  </si>
  <si>
    <t>TOURS</t>
  </si>
  <si>
    <t>TOTALS</t>
  </si>
  <si>
    <t>AVERAGES</t>
  </si>
  <si>
    <t>COMMISSIONS</t>
  </si>
  <si>
    <t>Commission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</si>
</sst>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167" formatCode="mmmm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7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7" fontId="2" fillId="0" borderId="0" xfId="0" applyNumberFormat="1" applyFont="1"/>
    <xf numFmtId="1" fontId="0" fillId="0" borderId="0" xfId="0" applyNumberFormat="1"/>
    <xf numFmtId="41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41" fontId="2" fillId="0" borderId="0" xfId="0" applyNumberFormat="1" applyFont="1"/>
    <xf numFmtId="9" fontId="2" fillId="0" borderId="1" xfId="1" applyFont="1" applyBorder="1"/>
    <xf numFmtId="42" fontId="2" fillId="0" borderId="0" xfId="0" applyNumberFormat="1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chartsheet" Target="chartsheets/sheet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Superior Travel Agency</a:t>
            </a:r>
          </a:p>
          <a:p>
            <a:pPr>
              <a:defRPr/>
            </a:pPr>
            <a:r>
              <a:rPr lang="en-US" b="1"/>
              <a:t>Agent Commissions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Cruise Commssions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Job2B!$B$5:$G$5</c:f>
              <c:strCache>
                <c:ptCount val="6"/>
                <c:pt idx="0">
                  <c:v>Agent
1014</c:v>
                </c:pt>
                <c:pt idx="1">
                  <c:v>Agent
1155</c:v>
                </c:pt>
                <c:pt idx="2">
                  <c:v>Agent
1344</c:v>
                </c:pt>
                <c:pt idx="3">
                  <c:v>Agent
1577</c:v>
                </c:pt>
                <c:pt idx="4">
                  <c:v>Agent
1611</c:v>
                </c:pt>
                <c:pt idx="5">
                  <c:v>Agent
1829</c:v>
                </c:pt>
              </c:strCache>
            </c:strRef>
          </c:cat>
          <c:val>
            <c:numRef>
              <c:f>Job2B!$B$14:$G$14</c:f>
              <c:numCache>
                <c:formatCode>_("$"* #,##0_);_("$"* \(#,##0\);_("$"* "-"_);_(@_)</c:formatCode>
                <c:ptCount val="6"/>
                <c:pt idx="0">
                  <c:v>1648.96</c:v>
                </c:pt>
                <c:pt idx="1">
                  <c:v>1091.32</c:v>
                </c:pt>
                <c:pt idx="2">
                  <c:v>1418.56</c:v>
                </c:pt>
                <c:pt idx="3">
                  <c:v>1505.2</c:v>
                </c:pt>
                <c:pt idx="4">
                  <c:v>2385.88</c:v>
                </c:pt>
                <c:pt idx="5">
                  <c:v>1458.88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2-4B17-B321-AEDCCDA6CDF9}"/>
            </c:ext>
          </c:extLst>
        </c:ser>
        <c:ser>
          <c:idx val="1"/>
          <c:order val="1"/>
          <c:tx>
            <c:v>Tours Commissions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Job2B!$B$5:$G$5</c:f>
              <c:strCache>
                <c:ptCount val="6"/>
                <c:pt idx="0">
                  <c:v>Agent
1014</c:v>
                </c:pt>
                <c:pt idx="1">
                  <c:v>Agent
1155</c:v>
                </c:pt>
                <c:pt idx="2">
                  <c:v>Agent
1344</c:v>
                </c:pt>
                <c:pt idx="3">
                  <c:v>Agent
1577</c:v>
                </c:pt>
                <c:pt idx="4">
                  <c:v>Agent
1611</c:v>
                </c:pt>
                <c:pt idx="5">
                  <c:v>Agent
1829</c:v>
                </c:pt>
              </c:strCache>
            </c:strRef>
          </c:cat>
          <c:val>
            <c:numRef>
              <c:f>Job2B!$B$25:$G$25</c:f>
              <c:numCache>
                <c:formatCode>_("$"* #,##0_);_("$"* \(#,##0\);_("$"* "-"_);_(@_)</c:formatCode>
                <c:ptCount val="6"/>
                <c:pt idx="0">
                  <c:v>1622.2500000000002</c:v>
                </c:pt>
                <c:pt idx="1">
                  <c:v>2167.0600000000004</c:v>
                </c:pt>
                <c:pt idx="2">
                  <c:v>1788.9900000000002</c:v>
                </c:pt>
                <c:pt idx="3">
                  <c:v>1279.8100000000002</c:v>
                </c:pt>
                <c:pt idx="4">
                  <c:v>3439.3100000000004</c:v>
                </c:pt>
                <c:pt idx="5">
                  <c:v>1146.3900000000001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2-4B17-B321-AEDCCDA6C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2523759"/>
        <c:axId val="1272524239"/>
      </c:barChart>
      <c:catAx>
        <c:axId val="12725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24239"/>
        <c:crosses val="autoZero"/>
        <c:auto val="1"/>
        <c:lblAlgn val="ctr"/>
        <c:lblOffset val="100"/>
        <c:noMultiLvlLbl val="0"/>
      </c:catAx>
      <c:valAx>
        <c:axId val="12725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6FBF75-07C1-4D72-BAF2-81D4AF9FD55F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D3721-552F-2D14-F281-C6A2ACED99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5C41-1BF7-4546-A881-E5AF3863ED5D}">
  <dimension ref="A1:G23"/>
  <sheetViews>
    <sheetView workbookViewId="0">
      <selection activeCell="J19" sqref="J19"/>
    </sheetView>
  </sheetViews>
  <sheetFormatPr defaultRowHeight="14.4" x14ac:dyDescent="0.3"/>
  <cols>
    <col min="1" max="1" width="15.5546875" customWidth="1"/>
  </cols>
  <sheetData>
    <row r="1" spans="1:7" ht="18" x14ac:dyDescent="0.35">
      <c r="A1" s="5" t="s">
        <v>0</v>
      </c>
      <c r="B1" s="5"/>
      <c r="C1" s="5"/>
      <c r="D1" s="5"/>
      <c r="E1" s="5"/>
      <c r="F1" s="5"/>
      <c r="G1" s="5"/>
    </row>
    <row r="2" spans="1:7" ht="18" x14ac:dyDescent="0.35">
      <c r="A2" s="5" t="s">
        <v>1</v>
      </c>
      <c r="B2" s="5"/>
      <c r="C2" s="5"/>
      <c r="D2" s="5"/>
      <c r="E2" s="5"/>
      <c r="F2" s="5"/>
      <c r="G2" s="5"/>
    </row>
    <row r="4" spans="1:7" x14ac:dyDescent="0.3">
      <c r="B4" s="4" t="s">
        <v>2</v>
      </c>
      <c r="C4" s="4"/>
      <c r="D4" s="4"/>
      <c r="E4" s="4"/>
      <c r="F4" s="4"/>
      <c r="G4" s="4"/>
    </row>
    <row r="5" spans="1:7" ht="28.8" x14ac:dyDescent="0.3">
      <c r="A5" s="1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3">
      <c r="A6" s="2">
        <v>45108</v>
      </c>
      <c r="B6">
        <v>10350</v>
      </c>
      <c r="C6">
        <v>716</v>
      </c>
      <c r="D6">
        <v>6953</v>
      </c>
      <c r="E6">
        <v>2236</v>
      </c>
      <c r="F6">
        <v>8343</v>
      </c>
      <c r="G6">
        <v>4556</v>
      </c>
    </row>
    <row r="7" spans="1:7" x14ac:dyDescent="0.3">
      <c r="A7" s="2">
        <v>45161</v>
      </c>
      <c r="B7">
        <v>7795</v>
      </c>
      <c r="C7">
        <v>3759</v>
      </c>
      <c r="D7">
        <v>6182</v>
      </c>
      <c r="E7">
        <v>11912</v>
      </c>
      <c r="F7">
        <v>5867</v>
      </c>
      <c r="G7">
        <v>8609</v>
      </c>
    </row>
    <row r="8" spans="1:7" x14ac:dyDescent="0.3">
      <c r="A8" s="2">
        <v>45170</v>
      </c>
      <c r="B8">
        <v>8152</v>
      </c>
      <c r="C8">
        <v>7595</v>
      </c>
      <c r="D8">
        <v>5395</v>
      </c>
      <c r="E8">
        <v>4824</v>
      </c>
      <c r="F8">
        <v>12190</v>
      </c>
      <c r="G8">
        <v>5913</v>
      </c>
    </row>
    <row r="9" spans="1:7" x14ac:dyDescent="0.3">
      <c r="A9" s="2">
        <v>45200</v>
      </c>
      <c r="B9">
        <v>5982</v>
      </c>
      <c r="C9">
        <v>5642</v>
      </c>
      <c r="D9">
        <v>2039</v>
      </c>
      <c r="E9">
        <v>4321</v>
      </c>
      <c r="F9">
        <v>12009</v>
      </c>
      <c r="G9">
        <v>7306</v>
      </c>
    </row>
    <row r="10" spans="1:7" x14ac:dyDescent="0.3">
      <c r="A10" s="2">
        <v>45231</v>
      </c>
      <c r="B10">
        <v>5547</v>
      </c>
      <c r="C10">
        <v>6830</v>
      </c>
      <c r="D10">
        <v>5777</v>
      </c>
      <c r="E10">
        <v>7320</v>
      </c>
      <c r="F10">
        <v>11769</v>
      </c>
      <c r="G10">
        <v>4777</v>
      </c>
    </row>
    <row r="11" spans="1:7" x14ac:dyDescent="0.3">
      <c r="A11" s="2">
        <v>45261</v>
      </c>
      <c r="B11">
        <v>3398</v>
      </c>
      <c r="C11">
        <v>2741</v>
      </c>
      <c r="D11">
        <v>9118</v>
      </c>
      <c r="E11">
        <v>7017</v>
      </c>
      <c r="F11">
        <v>9469</v>
      </c>
      <c r="G11">
        <v>5311</v>
      </c>
    </row>
    <row r="12" spans="1:7" x14ac:dyDescent="0.3">
      <c r="A12" s="6" t="s">
        <v>11</v>
      </c>
      <c r="B12">
        <f>SUM(B6:B11)</f>
        <v>41224</v>
      </c>
      <c r="C12">
        <f t="shared" ref="C12:G12" si="0">SUM(C6:C11)</f>
        <v>27283</v>
      </c>
      <c r="D12">
        <f t="shared" si="0"/>
        <v>35464</v>
      </c>
      <c r="E12">
        <f t="shared" si="0"/>
        <v>37630</v>
      </c>
      <c r="F12">
        <f t="shared" si="0"/>
        <v>59647</v>
      </c>
      <c r="G12">
        <f t="shared" si="0"/>
        <v>36472</v>
      </c>
    </row>
    <row r="13" spans="1:7" x14ac:dyDescent="0.3">
      <c r="A13" s="6" t="s">
        <v>12</v>
      </c>
      <c r="B13" s="7">
        <f>AVERAGE(B6:B11)</f>
        <v>6870.666666666667</v>
      </c>
      <c r="C13" s="7">
        <f t="shared" ref="C13:G13" si="1">AVERAGE(C6:C11)</f>
        <v>4547.166666666667</v>
      </c>
      <c r="D13" s="7">
        <f t="shared" si="1"/>
        <v>5910.666666666667</v>
      </c>
      <c r="E13" s="7">
        <f t="shared" si="1"/>
        <v>6271.666666666667</v>
      </c>
      <c r="F13" s="7">
        <f t="shared" si="1"/>
        <v>9941.1666666666661</v>
      </c>
      <c r="G13" s="7">
        <f t="shared" si="1"/>
        <v>6078.666666666667</v>
      </c>
    </row>
    <row r="15" spans="1:7" x14ac:dyDescent="0.3">
      <c r="A15" s="1" t="s">
        <v>10</v>
      </c>
    </row>
    <row r="16" spans="1:7" x14ac:dyDescent="0.3">
      <c r="A16" s="2">
        <v>45108</v>
      </c>
      <c r="B16">
        <v>5252</v>
      </c>
      <c r="C16">
        <v>6420</v>
      </c>
      <c r="D16">
        <v>1445</v>
      </c>
      <c r="E16">
        <v>1944</v>
      </c>
      <c r="F16">
        <v>8164</v>
      </c>
      <c r="G16">
        <v>1241</v>
      </c>
    </row>
    <row r="17" spans="1:7" x14ac:dyDescent="0.3">
      <c r="A17" s="2">
        <v>45161</v>
      </c>
      <c r="B17">
        <v>1092</v>
      </c>
      <c r="C17">
        <v>8996</v>
      </c>
      <c r="D17">
        <v>6093</v>
      </c>
      <c r="E17">
        <v>2493</v>
      </c>
      <c r="F17">
        <v>8542</v>
      </c>
      <c r="G17">
        <v>2400</v>
      </c>
    </row>
    <row r="18" spans="1:7" x14ac:dyDescent="0.3">
      <c r="A18" s="2">
        <v>45170</v>
      </c>
      <c r="B18">
        <v>4839</v>
      </c>
      <c r="C18">
        <v>5209</v>
      </c>
      <c r="D18">
        <v>4092</v>
      </c>
      <c r="E18">
        <v>1588</v>
      </c>
      <c r="F18">
        <v>9643</v>
      </c>
      <c r="G18">
        <v>2579</v>
      </c>
    </row>
    <row r="19" spans="1:7" x14ac:dyDescent="0.3">
      <c r="A19" s="2">
        <v>45200</v>
      </c>
      <c r="B19">
        <v>4615</v>
      </c>
      <c r="C19">
        <v>4940</v>
      </c>
      <c r="D19">
        <v>5209</v>
      </c>
      <c r="E19">
        <v>1536</v>
      </c>
      <c r="F19">
        <v>7511</v>
      </c>
      <c r="G19">
        <v>5051</v>
      </c>
    </row>
    <row r="20" spans="1:7" x14ac:dyDescent="0.3">
      <c r="A20" s="2">
        <v>45231</v>
      </c>
      <c r="B20">
        <v>5962</v>
      </c>
      <c r="C20">
        <v>2657</v>
      </c>
      <c r="D20">
        <v>7620</v>
      </c>
      <c r="E20">
        <v>3683</v>
      </c>
      <c r="F20">
        <v>8284</v>
      </c>
      <c r="G20">
        <v>3162</v>
      </c>
    </row>
    <row r="21" spans="1:7" x14ac:dyDescent="0.3">
      <c r="A21" s="2">
        <v>45261</v>
      </c>
      <c r="B21">
        <v>1415</v>
      </c>
      <c r="C21">
        <v>2736</v>
      </c>
      <c r="D21">
        <v>1098</v>
      </c>
      <c r="E21">
        <v>7039</v>
      </c>
      <c r="F21">
        <v>6989</v>
      </c>
      <c r="G21">
        <v>1944</v>
      </c>
    </row>
    <row r="22" spans="1:7" x14ac:dyDescent="0.3">
      <c r="A22" s="6" t="s">
        <v>11</v>
      </c>
      <c r="B22">
        <f>SUM(B16:B21)</f>
        <v>23175</v>
      </c>
      <c r="C22">
        <f t="shared" ref="C22:G22" si="2">SUM(C16:C21)</f>
        <v>30958</v>
      </c>
      <c r="D22">
        <f t="shared" si="2"/>
        <v>25557</v>
      </c>
      <c r="E22">
        <f t="shared" si="2"/>
        <v>18283</v>
      </c>
      <c r="F22">
        <f t="shared" si="2"/>
        <v>49133</v>
      </c>
      <c r="G22">
        <f t="shared" si="2"/>
        <v>16377</v>
      </c>
    </row>
    <row r="23" spans="1:7" x14ac:dyDescent="0.3">
      <c r="A23" s="1" t="s">
        <v>12</v>
      </c>
      <c r="B23" s="7">
        <f>AVERAGE(B16:B21)</f>
        <v>3862.5</v>
      </c>
      <c r="C23" s="7">
        <f t="shared" ref="C23:G23" si="3">AVERAGE(C16:C21)</f>
        <v>5159.666666666667</v>
      </c>
      <c r="D23" s="7">
        <f t="shared" si="3"/>
        <v>4259.5</v>
      </c>
      <c r="E23" s="7">
        <f t="shared" si="3"/>
        <v>3047.1666666666665</v>
      </c>
      <c r="F23" s="7">
        <f t="shared" si="3"/>
        <v>8188.833333333333</v>
      </c>
      <c r="G23" s="7">
        <f t="shared" si="3"/>
        <v>2729.5</v>
      </c>
    </row>
  </sheetData>
  <mergeCells count="3">
    <mergeCell ref="B4:G4"/>
    <mergeCell ref="A1:G1"/>
    <mergeCell ref="A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4EEB-ADB8-4464-A12F-FA5057475576}">
  <dimension ref="A1:G23"/>
  <sheetViews>
    <sheetView topLeftCell="A5" workbookViewId="0">
      <selection activeCell="F21" sqref="F21"/>
    </sheetView>
  </sheetViews>
  <sheetFormatPr defaultRowHeight="14.4" x14ac:dyDescent="0.3"/>
  <cols>
    <col min="1" max="1" width="15.5546875" customWidth="1"/>
  </cols>
  <sheetData>
    <row r="1" spans="1:7" ht="18" x14ac:dyDescent="0.35">
      <c r="A1" s="5" t="s">
        <v>0</v>
      </c>
      <c r="B1" s="5"/>
      <c r="C1" s="5"/>
      <c r="D1" s="5"/>
      <c r="E1" s="5"/>
      <c r="F1" s="5"/>
      <c r="G1" s="5"/>
    </row>
    <row r="2" spans="1:7" ht="18" x14ac:dyDescent="0.35">
      <c r="A2" s="5" t="s">
        <v>1</v>
      </c>
      <c r="B2" s="5"/>
      <c r="C2" s="5"/>
      <c r="D2" s="5"/>
      <c r="E2" s="5"/>
      <c r="F2" s="5"/>
      <c r="G2" s="5"/>
    </row>
    <row r="4" spans="1:7" x14ac:dyDescent="0.3">
      <c r="A4" s="9"/>
      <c r="B4" s="10" t="s">
        <v>2</v>
      </c>
      <c r="C4" s="10"/>
      <c r="D4" s="10"/>
      <c r="E4" s="10"/>
      <c r="F4" s="10"/>
      <c r="G4" s="10"/>
    </row>
    <row r="5" spans="1:7" ht="28.8" x14ac:dyDescent="0.3">
      <c r="A5" s="11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</row>
    <row r="6" spans="1:7" x14ac:dyDescent="0.3">
      <c r="A6" s="2">
        <v>45108</v>
      </c>
      <c r="B6" s="8">
        <v>10350</v>
      </c>
      <c r="C6" s="8">
        <v>716</v>
      </c>
      <c r="D6" s="8">
        <v>6953</v>
      </c>
      <c r="E6" s="8">
        <v>2236</v>
      </c>
      <c r="F6" s="8">
        <v>8343</v>
      </c>
      <c r="G6" s="8">
        <v>4556</v>
      </c>
    </row>
    <row r="7" spans="1:7" x14ac:dyDescent="0.3">
      <c r="A7" s="2">
        <v>45161</v>
      </c>
      <c r="B7" s="8">
        <v>7795</v>
      </c>
      <c r="C7" s="8">
        <v>3759</v>
      </c>
      <c r="D7" s="8">
        <v>6182</v>
      </c>
      <c r="E7" s="8">
        <v>11912</v>
      </c>
      <c r="F7" s="8">
        <v>5867</v>
      </c>
      <c r="G7" s="8">
        <v>8609</v>
      </c>
    </row>
    <row r="8" spans="1:7" x14ac:dyDescent="0.3">
      <c r="A8" s="2">
        <v>45170</v>
      </c>
      <c r="B8" s="8">
        <v>8152</v>
      </c>
      <c r="C8" s="8">
        <v>7595</v>
      </c>
      <c r="D8" s="8">
        <v>5395</v>
      </c>
      <c r="E8" s="8">
        <v>4824</v>
      </c>
      <c r="F8" s="8">
        <v>12190</v>
      </c>
      <c r="G8" s="8">
        <v>5913</v>
      </c>
    </row>
    <row r="9" spans="1:7" x14ac:dyDescent="0.3">
      <c r="A9" s="2">
        <v>45200</v>
      </c>
      <c r="B9" s="8">
        <v>5982</v>
      </c>
      <c r="C9" s="8">
        <v>5642</v>
      </c>
      <c r="D9" s="8">
        <v>2039</v>
      </c>
      <c r="E9" s="8">
        <v>4321</v>
      </c>
      <c r="F9" s="8">
        <v>12009</v>
      </c>
      <c r="G9" s="8">
        <v>7306</v>
      </c>
    </row>
    <row r="10" spans="1:7" x14ac:dyDescent="0.3">
      <c r="A10" s="2">
        <v>45231</v>
      </c>
      <c r="B10" s="8">
        <v>5547</v>
      </c>
      <c r="C10" s="8">
        <v>6830</v>
      </c>
      <c r="D10" s="8">
        <v>5777</v>
      </c>
      <c r="E10" s="8">
        <v>7320</v>
      </c>
      <c r="F10" s="8">
        <v>11769</v>
      </c>
      <c r="G10" s="8">
        <v>4777</v>
      </c>
    </row>
    <row r="11" spans="1:7" x14ac:dyDescent="0.3">
      <c r="A11" s="2">
        <v>45261</v>
      </c>
      <c r="B11" s="8">
        <v>3398</v>
      </c>
      <c r="C11" s="8">
        <v>2741</v>
      </c>
      <c r="D11" s="8">
        <v>9118</v>
      </c>
      <c r="E11" s="8">
        <v>7017</v>
      </c>
      <c r="F11" s="8">
        <v>9469</v>
      </c>
      <c r="G11" s="8">
        <v>5311</v>
      </c>
    </row>
    <row r="12" spans="1:7" x14ac:dyDescent="0.3">
      <c r="A12" s="6" t="s">
        <v>11</v>
      </c>
      <c r="B12" s="13">
        <f>SUM(B6:B11)</f>
        <v>41224</v>
      </c>
      <c r="C12" s="13">
        <f t="shared" ref="C12:G12" si="0">SUM(C6:C11)</f>
        <v>27283</v>
      </c>
      <c r="D12" s="13">
        <f t="shared" si="0"/>
        <v>35464</v>
      </c>
      <c r="E12" s="13">
        <f t="shared" si="0"/>
        <v>37630</v>
      </c>
      <c r="F12" s="13">
        <f t="shared" si="0"/>
        <v>59647</v>
      </c>
      <c r="G12" s="13">
        <f t="shared" si="0"/>
        <v>36472</v>
      </c>
    </row>
    <row r="13" spans="1:7" x14ac:dyDescent="0.3">
      <c r="A13" s="6" t="s">
        <v>12</v>
      </c>
      <c r="B13" s="13">
        <f>AVERAGE(B6:B11)</f>
        <v>6870.666666666667</v>
      </c>
      <c r="C13" s="13">
        <f t="shared" ref="C13:G13" si="1">AVERAGE(C6:C11)</f>
        <v>4547.166666666667</v>
      </c>
      <c r="D13" s="13">
        <f t="shared" si="1"/>
        <v>5910.666666666667</v>
      </c>
      <c r="E13" s="13">
        <f t="shared" si="1"/>
        <v>6271.666666666667</v>
      </c>
      <c r="F13" s="13">
        <f t="shared" si="1"/>
        <v>9941.1666666666661</v>
      </c>
      <c r="G13" s="13">
        <f t="shared" si="1"/>
        <v>6078.666666666667</v>
      </c>
    </row>
    <row r="14" spans="1:7" x14ac:dyDescent="0.3">
      <c r="B14" s="8"/>
      <c r="C14" s="8"/>
      <c r="D14" s="8"/>
      <c r="E14" s="8"/>
      <c r="F14" s="8"/>
      <c r="G14" s="8"/>
    </row>
    <row r="15" spans="1:7" x14ac:dyDescent="0.3">
      <c r="A15" s="1" t="s">
        <v>10</v>
      </c>
      <c r="B15" s="8"/>
      <c r="C15" s="8"/>
      <c r="D15" s="8"/>
      <c r="E15" s="8"/>
      <c r="F15" s="8"/>
      <c r="G15" s="8"/>
    </row>
    <row r="16" spans="1:7" x14ac:dyDescent="0.3">
      <c r="A16" s="2">
        <v>45108</v>
      </c>
      <c r="B16" s="8">
        <v>5252</v>
      </c>
      <c r="C16" s="8">
        <v>6420</v>
      </c>
      <c r="D16" s="8">
        <v>1445</v>
      </c>
      <c r="E16" s="8">
        <v>1944</v>
      </c>
      <c r="F16" s="8">
        <v>8164</v>
      </c>
      <c r="G16" s="8">
        <v>1241</v>
      </c>
    </row>
    <row r="17" spans="1:7" x14ac:dyDescent="0.3">
      <c r="A17" s="2">
        <v>45161</v>
      </c>
      <c r="B17" s="8">
        <v>1092</v>
      </c>
      <c r="C17" s="8">
        <v>8996</v>
      </c>
      <c r="D17" s="8">
        <v>6093</v>
      </c>
      <c r="E17" s="8">
        <v>2493</v>
      </c>
      <c r="F17" s="8">
        <v>8542</v>
      </c>
      <c r="G17" s="8">
        <v>2400</v>
      </c>
    </row>
    <row r="18" spans="1:7" x14ac:dyDescent="0.3">
      <c r="A18" s="2">
        <v>45170</v>
      </c>
      <c r="B18" s="8">
        <v>4839</v>
      </c>
      <c r="C18" s="8">
        <v>5209</v>
      </c>
      <c r="D18" s="8">
        <v>4092</v>
      </c>
      <c r="E18" s="8">
        <v>1588</v>
      </c>
      <c r="F18" s="8">
        <v>9643</v>
      </c>
      <c r="G18" s="8">
        <v>2579</v>
      </c>
    </row>
    <row r="19" spans="1:7" x14ac:dyDescent="0.3">
      <c r="A19" s="2">
        <v>45200</v>
      </c>
      <c r="B19" s="8">
        <v>4615</v>
      </c>
      <c r="C19" s="8">
        <v>4940</v>
      </c>
      <c r="D19" s="8">
        <v>5209</v>
      </c>
      <c r="E19" s="8">
        <v>1536</v>
      </c>
      <c r="F19" s="8">
        <v>7511</v>
      </c>
      <c r="G19" s="8">
        <v>5051</v>
      </c>
    </row>
    <row r="20" spans="1:7" x14ac:dyDescent="0.3">
      <c r="A20" s="2">
        <v>45231</v>
      </c>
      <c r="B20" s="8">
        <v>5962</v>
      </c>
      <c r="C20" s="8">
        <v>2657</v>
      </c>
      <c r="D20" s="8">
        <v>7620</v>
      </c>
      <c r="E20" s="8">
        <v>3683</v>
      </c>
      <c r="F20" s="8">
        <v>8284</v>
      </c>
      <c r="G20" s="8">
        <v>3162</v>
      </c>
    </row>
    <row r="21" spans="1:7" x14ac:dyDescent="0.3">
      <c r="A21" s="2">
        <v>45261</v>
      </c>
      <c r="B21" s="8">
        <v>1415</v>
      </c>
      <c r="C21" s="8">
        <v>2736</v>
      </c>
      <c r="D21" s="8">
        <v>1098</v>
      </c>
      <c r="E21" s="8">
        <v>7039</v>
      </c>
      <c r="F21" s="8">
        <v>6989</v>
      </c>
      <c r="G21" s="8">
        <v>1944</v>
      </c>
    </row>
    <row r="22" spans="1:7" x14ac:dyDescent="0.3">
      <c r="A22" s="6" t="s">
        <v>11</v>
      </c>
      <c r="B22" s="13">
        <f>SUM(B16:B21)</f>
        <v>23175</v>
      </c>
      <c r="C22" s="13">
        <f t="shared" ref="C22:G22" si="2">SUM(C16:C21)</f>
        <v>30958</v>
      </c>
      <c r="D22" s="13">
        <f t="shared" si="2"/>
        <v>25557</v>
      </c>
      <c r="E22" s="13">
        <f t="shared" si="2"/>
        <v>18283</v>
      </c>
      <c r="F22" s="13">
        <f t="shared" si="2"/>
        <v>49133</v>
      </c>
      <c r="G22" s="13">
        <f t="shared" si="2"/>
        <v>16377</v>
      </c>
    </row>
    <row r="23" spans="1:7" x14ac:dyDescent="0.3">
      <c r="A23" s="1" t="s">
        <v>12</v>
      </c>
      <c r="B23" s="13">
        <f>AVERAGE(B16:B21)</f>
        <v>3862.5</v>
      </c>
      <c r="C23" s="13">
        <f t="shared" ref="C23:G23" si="3">AVERAGE(C16:C21)</f>
        <v>5159.666666666667</v>
      </c>
      <c r="D23" s="13">
        <f t="shared" si="3"/>
        <v>4259.5</v>
      </c>
      <c r="E23" s="13">
        <f t="shared" si="3"/>
        <v>3047.1666666666665</v>
      </c>
      <c r="F23" s="13">
        <f t="shared" si="3"/>
        <v>8188.833333333333</v>
      </c>
      <c r="G23" s="13">
        <f t="shared" si="3"/>
        <v>2729.5</v>
      </c>
    </row>
  </sheetData>
  <mergeCells count="3">
    <mergeCell ref="A1:G1"/>
    <mergeCell ref="A2:G2"/>
    <mergeCell ref="B4:G4"/>
  </mergeCells>
  <conditionalFormatting sqref="B13:G13">
    <cfRule type="cellIs" dxfId="3" priority="2" operator="greaterThan">
      <formula>6000</formula>
    </cfRule>
  </conditionalFormatting>
  <conditionalFormatting sqref="B23:G23">
    <cfRule type="cellIs" dxfId="2" priority="1" operator="greaterThan">
      <formula>4000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9A24-1E7A-4FD1-99C6-97AA982332E6}">
  <dimension ref="A1:I25"/>
  <sheetViews>
    <sheetView workbookViewId="0">
      <selection activeCell="B25" activeCellId="2" sqref="B5:G5 B14:G14 B25:G25"/>
    </sheetView>
  </sheetViews>
  <sheetFormatPr defaultRowHeight="14.4" x14ac:dyDescent="0.3"/>
  <cols>
    <col min="1" max="1" width="15.5546875" customWidth="1"/>
    <col min="2" max="2" width="9.109375" bestFit="1" customWidth="1"/>
  </cols>
  <sheetData>
    <row r="1" spans="1:9" ht="18" x14ac:dyDescent="0.35">
      <c r="A1" s="5" t="s">
        <v>0</v>
      </c>
      <c r="B1" s="5"/>
      <c r="C1" s="5"/>
      <c r="D1" s="5"/>
      <c r="E1" s="5"/>
      <c r="F1" s="5"/>
      <c r="G1" s="5"/>
    </row>
    <row r="2" spans="1:9" ht="18" x14ac:dyDescent="0.35">
      <c r="A2" s="5" t="s">
        <v>1</v>
      </c>
      <c r="B2" s="5"/>
      <c r="C2" s="5"/>
      <c r="D2" s="5"/>
      <c r="E2" s="5"/>
      <c r="F2" s="5"/>
      <c r="G2" s="5"/>
    </row>
    <row r="4" spans="1:9" ht="15" thickBot="1" x14ac:dyDescent="0.35">
      <c r="A4" s="9"/>
      <c r="B4" s="10" t="s">
        <v>2</v>
      </c>
      <c r="C4" s="10"/>
      <c r="D4" s="10"/>
      <c r="E4" s="10"/>
      <c r="F4" s="10"/>
      <c r="G4" s="10"/>
      <c r="I4" s="1" t="s">
        <v>14</v>
      </c>
    </row>
    <row r="5" spans="1:9" ht="29.4" thickBot="1" x14ac:dyDescent="0.35">
      <c r="A5" s="11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I5" s="14">
        <v>0.04</v>
      </c>
    </row>
    <row r="6" spans="1:9" x14ac:dyDescent="0.3">
      <c r="A6" s="2">
        <v>45108</v>
      </c>
      <c r="B6" s="8">
        <v>10350</v>
      </c>
      <c r="C6" s="8">
        <v>716</v>
      </c>
      <c r="D6" s="8">
        <v>6953</v>
      </c>
      <c r="E6" s="8">
        <v>2236</v>
      </c>
      <c r="F6" s="8">
        <v>8343</v>
      </c>
      <c r="G6" s="8">
        <v>4556</v>
      </c>
    </row>
    <row r="7" spans="1:9" x14ac:dyDescent="0.3">
      <c r="A7" s="2">
        <v>45161</v>
      </c>
      <c r="B7" s="8">
        <v>7795</v>
      </c>
      <c r="C7" s="8">
        <v>3759</v>
      </c>
      <c r="D7" s="8">
        <v>6182</v>
      </c>
      <c r="E7" s="8">
        <v>11912</v>
      </c>
      <c r="F7" s="8">
        <v>5867</v>
      </c>
      <c r="G7" s="8">
        <v>8609</v>
      </c>
    </row>
    <row r="8" spans="1:9" x14ac:dyDescent="0.3">
      <c r="A8" s="2">
        <v>45170</v>
      </c>
      <c r="B8" s="8">
        <v>8152</v>
      </c>
      <c r="C8" s="8">
        <v>7595</v>
      </c>
      <c r="D8" s="8">
        <v>5395</v>
      </c>
      <c r="E8" s="8">
        <v>4824</v>
      </c>
      <c r="F8" s="8">
        <v>12190</v>
      </c>
      <c r="G8" s="8">
        <v>5913</v>
      </c>
    </row>
    <row r="9" spans="1:9" x14ac:dyDescent="0.3">
      <c r="A9" s="2">
        <v>45200</v>
      </c>
      <c r="B9" s="8">
        <v>5982</v>
      </c>
      <c r="C9" s="8">
        <v>5642</v>
      </c>
      <c r="D9" s="8">
        <v>2039</v>
      </c>
      <c r="E9" s="8">
        <v>4321</v>
      </c>
      <c r="F9" s="8">
        <v>12009</v>
      </c>
      <c r="G9" s="8">
        <v>7306</v>
      </c>
    </row>
    <row r="10" spans="1:9" x14ac:dyDescent="0.3">
      <c r="A10" s="2">
        <v>45231</v>
      </c>
      <c r="B10" s="8">
        <v>5547</v>
      </c>
      <c r="C10" s="8">
        <v>6830</v>
      </c>
      <c r="D10" s="8">
        <v>5777</v>
      </c>
      <c r="E10" s="8">
        <v>7320</v>
      </c>
      <c r="F10" s="8">
        <v>11769</v>
      </c>
      <c r="G10" s="8">
        <v>4777</v>
      </c>
    </row>
    <row r="11" spans="1:9" x14ac:dyDescent="0.3">
      <c r="A11" s="2">
        <v>45261</v>
      </c>
      <c r="B11" s="8">
        <v>3398</v>
      </c>
      <c r="C11" s="8">
        <v>2741</v>
      </c>
      <c r="D11" s="8">
        <v>9118</v>
      </c>
      <c r="E11" s="8">
        <v>7017</v>
      </c>
      <c r="F11" s="8">
        <v>9469</v>
      </c>
      <c r="G11" s="8">
        <v>5311</v>
      </c>
    </row>
    <row r="12" spans="1:9" x14ac:dyDescent="0.3">
      <c r="A12" s="6" t="s">
        <v>11</v>
      </c>
      <c r="B12" s="13">
        <f>SUM(B6:B11)</f>
        <v>41224</v>
      </c>
      <c r="C12" s="13">
        <f t="shared" ref="C12:G12" si="0">SUM(C6:C11)</f>
        <v>27283</v>
      </c>
      <c r="D12" s="13">
        <f t="shared" si="0"/>
        <v>35464</v>
      </c>
      <c r="E12" s="13">
        <f t="shared" si="0"/>
        <v>37630</v>
      </c>
      <c r="F12" s="13">
        <f t="shared" si="0"/>
        <v>59647</v>
      </c>
      <c r="G12" s="13">
        <f t="shared" si="0"/>
        <v>36472</v>
      </c>
    </row>
    <row r="13" spans="1:9" x14ac:dyDescent="0.3">
      <c r="A13" s="6" t="s">
        <v>12</v>
      </c>
      <c r="B13" s="13">
        <f>AVERAGE(B6:B11)</f>
        <v>6870.666666666667</v>
      </c>
      <c r="C13" s="13">
        <f t="shared" ref="C13:G13" si="1">AVERAGE(C6:C11)</f>
        <v>4547.166666666667</v>
      </c>
      <c r="D13" s="13">
        <f t="shared" si="1"/>
        <v>5910.666666666667</v>
      </c>
      <c r="E13" s="13">
        <f t="shared" si="1"/>
        <v>6271.666666666667</v>
      </c>
      <c r="F13" s="13">
        <f t="shared" si="1"/>
        <v>9941.1666666666661</v>
      </c>
      <c r="G13" s="13">
        <f t="shared" si="1"/>
        <v>6078.666666666667</v>
      </c>
    </row>
    <row r="14" spans="1:9" x14ac:dyDescent="0.3">
      <c r="A14" s="6" t="s">
        <v>13</v>
      </c>
      <c r="B14" s="15">
        <f>B12*$I$5</f>
        <v>1648.96</v>
      </c>
      <c r="C14" s="15">
        <f t="shared" ref="C14:G14" si="2">C12*$I$5</f>
        <v>1091.32</v>
      </c>
      <c r="D14" s="15">
        <f t="shared" si="2"/>
        <v>1418.56</v>
      </c>
      <c r="E14" s="15">
        <f t="shared" si="2"/>
        <v>1505.2</v>
      </c>
      <c r="F14" s="15">
        <f t="shared" si="2"/>
        <v>2385.88</v>
      </c>
      <c r="G14" s="15">
        <f t="shared" si="2"/>
        <v>1458.88</v>
      </c>
    </row>
    <row r="15" spans="1:9" ht="15" thickBot="1" x14ac:dyDescent="0.35">
      <c r="B15" s="8"/>
      <c r="C15" s="8"/>
      <c r="D15" s="8"/>
      <c r="E15" s="8"/>
      <c r="F15" s="8"/>
      <c r="G15" s="8"/>
    </row>
    <row r="16" spans="1:9" ht="15" thickBot="1" x14ac:dyDescent="0.35">
      <c r="A16" s="1" t="s">
        <v>10</v>
      </c>
      <c r="B16" s="8"/>
      <c r="C16" s="8"/>
      <c r="D16" s="8"/>
      <c r="E16" s="8"/>
      <c r="F16" s="8"/>
      <c r="G16" s="8"/>
      <c r="I16" s="14">
        <v>7.0000000000000007E-2</v>
      </c>
    </row>
    <row r="17" spans="1:7" x14ac:dyDescent="0.3">
      <c r="A17" s="2">
        <v>45108</v>
      </c>
      <c r="B17" s="8">
        <v>5252</v>
      </c>
      <c r="C17" s="8">
        <v>6420</v>
      </c>
      <c r="D17" s="8">
        <v>1445</v>
      </c>
      <c r="E17" s="8">
        <v>1944</v>
      </c>
      <c r="F17" s="8">
        <v>8164</v>
      </c>
      <c r="G17" s="8">
        <v>1241</v>
      </c>
    </row>
    <row r="18" spans="1:7" x14ac:dyDescent="0.3">
      <c r="A18" s="2">
        <v>45161</v>
      </c>
      <c r="B18" s="8">
        <v>1092</v>
      </c>
      <c r="C18" s="8">
        <v>8996</v>
      </c>
      <c r="D18" s="8">
        <v>6093</v>
      </c>
      <c r="E18" s="8">
        <v>2493</v>
      </c>
      <c r="F18" s="8">
        <v>8542</v>
      </c>
      <c r="G18" s="8">
        <v>2400</v>
      </c>
    </row>
    <row r="19" spans="1:7" x14ac:dyDescent="0.3">
      <c r="A19" s="2">
        <v>45170</v>
      </c>
      <c r="B19" s="8">
        <v>4839</v>
      </c>
      <c r="C19" s="8">
        <v>5209</v>
      </c>
      <c r="D19" s="8">
        <v>4092</v>
      </c>
      <c r="E19" s="8">
        <v>1588</v>
      </c>
      <c r="F19" s="8">
        <v>9643</v>
      </c>
      <c r="G19" s="8">
        <v>2579</v>
      </c>
    </row>
    <row r="20" spans="1:7" x14ac:dyDescent="0.3">
      <c r="A20" s="2">
        <v>45200</v>
      </c>
      <c r="B20" s="8">
        <v>4615</v>
      </c>
      <c r="C20" s="8">
        <v>4940</v>
      </c>
      <c r="D20" s="8">
        <v>5209</v>
      </c>
      <c r="E20" s="8">
        <v>1536</v>
      </c>
      <c r="F20" s="8">
        <v>7511</v>
      </c>
      <c r="G20" s="8">
        <v>5051</v>
      </c>
    </row>
    <row r="21" spans="1:7" x14ac:dyDescent="0.3">
      <c r="A21" s="2">
        <v>45231</v>
      </c>
      <c r="B21" s="8">
        <v>5962</v>
      </c>
      <c r="C21" s="8">
        <v>2657</v>
      </c>
      <c r="D21" s="8">
        <v>7620</v>
      </c>
      <c r="E21" s="8">
        <v>3683</v>
      </c>
      <c r="F21" s="8">
        <v>8284</v>
      </c>
      <c r="G21" s="8">
        <v>3162</v>
      </c>
    </row>
    <row r="22" spans="1:7" x14ac:dyDescent="0.3">
      <c r="A22" s="2">
        <v>45261</v>
      </c>
      <c r="B22" s="8">
        <v>1415</v>
      </c>
      <c r="C22" s="8">
        <v>2736</v>
      </c>
      <c r="D22" s="8">
        <v>1098</v>
      </c>
      <c r="E22" s="8">
        <v>7039</v>
      </c>
      <c r="F22" s="8">
        <v>6989</v>
      </c>
      <c r="G22" s="8">
        <v>1944</v>
      </c>
    </row>
    <row r="23" spans="1:7" x14ac:dyDescent="0.3">
      <c r="A23" s="6" t="s">
        <v>11</v>
      </c>
      <c r="B23" s="13">
        <f>SUM(B17:B22)</f>
        <v>23175</v>
      </c>
      <c r="C23" s="13">
        <f t="shared" ref="C23:G23" si="3">SUM(C17:C22)</f>
        <v>30958</v>
      </c>
      <c r="D23" s="13">
        <f t="shared" si="3"/>
        <v>25557</v>
      </c>
      <c r="E23" s="13">
        <f t="shared" si="3"/>
        <v>18283</v>
      </c>
      <c r="F23" s="13">
        <f t="shared" si="3"/>
        <v>49133</v>
      </c>
      <c r="G23" s="13">
        <f t="shared" si="3"/>
        <v>16377</v>
      </c>
    </row>
    <row r="24" spans="1:7" x14ac:dyDescent="0.3">
      <c r="A24" s="1" t="s">
        <v>12</v>
      </c>
      <c r="B24" s="13">
        <f>AVERAGE(B17:B22)</f>
        <v>3862.5</v>
      </c>
      <c r="C24" s="13">
        <f t="shared" ref="C24:G24" si="4">AVERAGE(C17:C22)</f>
        <v>5159.666666666667</v>
      </c>
      <c r="D24" s="13">
        <f t="shared" si="4"/>
        <v>4259.5</v>
      </c>
      <c r="E24" s="13">
        <f t="shared" si="4"/>
        <v>3047.1666666666665</v>
      </c>
      <c r="F24" s="13">
        <f t="shared" si="4"/>
        <v>8188.833333333333</v>
      </c>
      <c r="G24" s="13">
        <f t="shared" si="4"/>
        <v>2729.5</v>
      </c>
    </row>
    <row r="25" spans="1:7" x14ac:dyDescent="0.3">
      <c r="A25" s="6" t="s">
        <v>13</v>
      </c>
      <c r="B25" s="15">
        <f>B23*$I$16</f>
        <v>1622.2500000000002</v>
      </c>
      <c r="C25" s="15">
        <f t="shared" ref="C25:G25" si="5">C23*$I$16</f>
        <v>2167.0600000000004</v>
      </c>
      <c r="D25" s="15">
        <f t="shared" si="5"/>
        <v>1788.9900000000002</v>
      </c>
      <c r="E25" s="15">
        <f t="shared" si="5"/>
        <v>1279.8100000000002</v>
      </c>
      <c r="F25" s="15">
        <f t="shared" si="5"/>
        <v>3439.3100000000004</v>
      </c>
      <c r="G25" s="15">
        <f t="shared" si="5"/>
        <v>1146.3900000000001</v>
      </c>
    </row>
  </sheetData>
  <mergeCells count="3">
    <mergeCell ref="A1:G1"/>
    <mergeCell ref="A2:G2"/>
    <mergeCell ref="B4:G4"/>
  </mergeCells>
  <conditionalFormatting sqref="B13:G14">
    <cfRule type="cellIs" dxfId="1" priority="2" operator="greaterThan">
      <formula>6000</formula>
    </cfRule>
  </conditionalFormatting>
  <conditionalFormatting sqref="B24:G24">
    <cfRule type="cellIs" dxfId="0" priority="1" operator="greaterThan">
      <formula>4000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4" ma:contentTypeDescription="Create a new document." ma:contentTypeScope="" ma:versionID="b2e0ffbfc82a1574079d5eab0f5095a7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605f79bd873fd39c856e63a2d3741c21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3E65C07-C154-4277-9FC3-C1AF12D3D055}"/>
</file>

<file path=customXml/itemProps2.xml><?xml version="1.0" encoding="utf-8"?>
<ds:datastoreItem xmlns:ds="http://schemas.openxmlformats.org/officeDocument/2006/customXml" ds:itemID="{D870431F-00BD-4B0E-A0E3-00C1093931C7}"/>
</file>

<file path=customXml/itemProps3.xml><?xml version="1.0" encoding="utf-8"?>
<ds:datastoreItem xmlns:ds="http://schemas.openxmlformats.org/officeDocument/2006/customXml" ds:itemID="{1E607A7E-86AB-42D2-ABD0-AAA919CBA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Job1</vt:lpstr>
      <vt:lpstr>Job2A</vt:lpstr>
      <vt:lpstr>Job2B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User</cp:lastModifiedBy>
  <dcterms:created xsi:type="dcterms:W3CDTF">2023-07-10T20:30:05Z</dcterms:created>
  <dcterms:modified xsi:type="dcterms:W3CDTF">2023-07-10T22:21:58Z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3473300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