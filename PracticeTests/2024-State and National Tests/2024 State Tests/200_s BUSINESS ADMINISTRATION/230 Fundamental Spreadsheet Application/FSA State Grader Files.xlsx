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1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seneaur\Documents\BPA Test Authoring\Fundamental Spreadsheet Applications\2024 State\"/>
    </mc:Choice>
  </mc:AlternateContent>
  <xr:revisionPtr revIDLastSave="0" documentId="13_ncr:1_{5A4D7F74-E695-46BC-A1E2-B24071DCD67E}" xr6:coauthVersionLast="47" xr6:coauthVersionMax="47" xr10:uidLastSave="{00000000-0000-0000-0000-000000000000}"/>
  <bookViews>
    <workbookView xWindow="0" yWindow="0" windowWidth="23040" windowHeight="8778" firstSheet="3" activeTab="3" xr2:uid="{6CB04A47-F753-4E47-B133-22485229311C}"/>
  </bookViews>
  <sheets>
    <sheet name="Job1" sheetId="1" r:id="rId1"/>
    <sheet name="Job2A" sheetId="2" r:id="rId2"/>
    <sheet name="Job2B" sheetId="3" r:id="rId3"/>
    <sheet name="Job3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4" i="3" l="1"/>
  <c r="F24" i="3"/>
  <c r="E24" i="3"/>
  <c r="D24" i="3"/>
  <c r="C24" i="3"/>
  <c r="B24" i="3"/>
  <c r="G23" i="3"/>
  <c r="G25" i="3" s="1"/>
  <c r="F23" i="3"/>
  <c r="F25" i="3" s="1"/>
  <c r="E23" i="3"/>
  <c r="E25" i="3" s="1"/>
  <c r="D23" i="3"/>
  <c r="D25" i="3" s="1"/>
  <c r="C23" i="3"/>
  <c r="C25" i="3" s="1"/>
  <c r="B23" i="3"/>
  <c r="B25" i="3" s="1"/>
  <c r="G13" i="3"/>
  <c r="F13" i="3"/>
  <c r="E13" i="3"/>
  <c r="D13" i="3"/>
  <c r="C13" i="3"/>
  <c r="B13" i="3"/>
  <c r="G12" i="3"/>
  <c r="G14" i="3" s="1"/>
  <c r="F12" i="3"/>
  <c r="F14" i="3" s="1"/>
  <c r="E12" i="3"/>
  <c r="E14" i="3" s="1"/>
  <c r="D12" i="3"/>
  <c r="D14" i="3" s="1"/>
  <c r="C12" i="3"/>
  <c r="C14" i="3" s="1"/>
  <c r="B12" i="3"/>
  <c r="B14" i="3" s="1"/>
  <c r="G23" i="2"/>
  <c r="F23" i="2"/>
  <c r="E23" i="2"/>
  <c r="D23" i="2"/>
  <c r="C23" i="2"/>
  <c r="B23" i="2"/>
  <c r="G22" i="2"/>
  <c r="F22" i="2"/>
  <c r="E22" i="2"/>
  <c r="D22" i="2"/>
  <c r="C22" i="2"/>
  <c r="B22" i="2"/>
  <c r="G13" i="2"/>
  <c r="F13" i="2"/>
  <c r="E13" i="2"/>
  <c r="D13" i="2"/>
  <c r="C13" i="2"/>
  <c r="B13" i="2"/>
  <c r="G12" i="2"/>
  <c r="F12" i="2"/>
  <c r="E12" i="2"/>
  <c r="D12" i="2"/>
  <c r="C12" i="2"/>
  <c r="B12" i="2"/>
  <c r="C23" i="1"/>
  <c r="D23" i="1"/>
  <c r="E23" i="1"/>
  <c r="F23" i="1"/>
  <c r="G23" i="1"/>
  <c r="B23" i="1"/>
  <c r="C13" i="1"/>
  <c r="D13" i="1"/>
  <c r="E13" i="1"/>
  <c r="F13" i="1"/>
  <c r="G13" i="1"/>
  <c r="B13" i="1"/>
  <c r="C22" i="1"/>
  <c r="D22" i="1"/>
  <c r="E22" i="1"/>
  <c r="F22" i="1"/>
  <c r="G22" i="1"/>
  <c r="B22" i="1"/>
  <c r="C12" i="1"/>
  <c r="D12" i="1"/>
  <c r="E12" i="1"/>
  <c r="F12" i="1"/>
  <c r="G12" i="1"/>
  <c r="B12" i="1"/>
</calcChain>
</file>

<file path=xl/sharedStrings.xml><?xml version="1.0" encoding="utf-8"?>
<sst xmlns="http://schemas.openxmlformats.org/spreadsheetml/2006/main" count="48" uniqueCount="15">
  <si>
    <t>SUPERIOR TRAVEL AGENCY</t>
  </si>
  <si>
    <t>Agent Commission Report</t>
  </si>
  <si>
    <t>Sales by Agent Per Month</t>
  </si>
  <si>
    <t>CRUISES</t>
  </si>
  <si>
    <t>Agent 1014</t>
  </si>
  <si>
    <t>Agent 1155</t>
  </si>
  <si>
    <t>Agent 1344</t>
  </si>
  <si>
    <t>Agent 1577</t>
  </si>
  <si>
    <t>Agent 1611</t>
  </si>
  <si>
    <t>Agent 1829</t>
  </si>
  <si>
    <t>TOTALS</t>
  </si>
  <si>
    <t>AVERAGES</t>
  </si>
  <si>
    <t>TOURS</t>
  </si>
  <si>
    <t>Commission %</t>
  </si>
  <si>
    <t>COMMISSIONS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</si>
</sst>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4" formatCode="_(&quot;$&quot;* #,##0.00_);_(&quot;$&quot;* \(#,##0.00\);_(&quot;$&quot;* &quot;-&quot;??_);_(@_)"/>
    <numFmt numFmtId="164" formatCode="mmmm\ yyyy"/>
    <numFmt numFmtId="165" formatCode="_(&quot;$&quot;* #,##0_);_(&quot;$&quot;* \(#,##0\);_(&quot;$&quot;* &quot;-&quot;??_);_(@_)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17">
    <xf numFmtId="0" fontId="0" fillId="0" borderId="0" xfId="0"/>
    <xf numFmtId="164" fontId="0" fillId="0" borderId="0" xfId="0" applyNumberFormat="1"/>
    <xf numFmtId="0" fontId="1" fillId="0" borderId="0" xfId="0" applyFont="1"/>
    <xf numFmtId="9" fontId="1" fillId="0" borderId="0" xfId="0" applyNumberFormat="1" applyFont="1"/>
    <xf numFmtId="164" fontId="1" fillId="0" borderId="0" xfId="0" applyNumberFormat="1" applyFont="1"/>
    <xf numFmtId="41" fontId="0" fillId="0" borderId="0" xfId="0" applyNumberFormat="1"/>
    <xf numFmtId="0" fontId="1" fillId="0" borderId="0" xfId="0" applyFont="1" applyAlignment="1">
      <alignment horizontal="center" wrapText="1"/>
    </xf>
    <xf numFmtId="41" fontId="1" fillId="0" borderId="0" xfId="0" applyNumberFormat="1" applyFont="1"/>
    <xf numFmtId="165" fontId="1" fillId="0" borderId="0" xfId="1" applyNumberFormat="1" applyFont="1"/>
    <xf numFmtId="0" fontId="0" fillId="2" borderId="0" xfId="0" applyFill="1"/>
    <xf numFmtId="0" fontId="1" fillId="2" borderId="0" xfId="0" applyFont="1" applyFill="1"/>
    <xf numFmtId="0" fontId="1" fillId="2" borderId="0" xfId="0" applyFont="1" applyFill="1" applyAlignment="1">
      <alignment horizontal="center" wrapText="1"/>
    </xf>
    <xf numFmtId="9" fontId="1" fillId="0" borderId="1" xfId="0" applyNumberFormat="1" applyFont="1" applyBorder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</cellXfs>
  <cellStyles count="2">
    <cellStyle name="Currency" xfId="1" builtinId="4"/>
    <cellStyle name="Normal" xfId="0" builtinId="0"/>
  </cellStyles>
  <dxfs count="10">
    <dxf>
      <font>
        <color rgb="FF9C0006"/>
      </font>
      <fill>
        <patternFill>
          <bgColor theme="9"/>
        </patternFill>
      </fill>
    </dxf>
    <dxf>
      <font>
        <color rgb="FF9C0006"/>
      </font>
      <fill>
        <patternFill>
          <bgColor rgb="FF92D050"/>
        </patternFill>
      </fill>
    </dxf>
    <dxf>
      <font>
        <color rgb="FF9C0006"/>
      </font>
      <fill>
        <patternFill>
          <bgColor rgb="FF92D050"/>
        </patternFill>
      </fill>
    </dxf>
    <dxf>
      <font>
        <color rgb="FF9C0006"/>
      </font>
      <fill>
        <patternFill>
          <bgColor theme="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92D050"/>
        </patternFill>
      </fill>
    </dxf>
    <dxf>
      <font>
        <color rgb="FF9C0006"/>
      </font>
      <fill>
        <patternFill>
          <bgColor theme="9"/>
        </patternFill>
      </fill>
    </dxf>
    <dxf>
      <font>
        <color rgb="FF9C0006"/>
      </font>
      <fill>
        <patternFill>
          <bgColor theme="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Superior Travel Agency </a:t>
            </a:r>
          </a:p>
          <a:p>
            <a:pPr>
              <a:defRPr/>
            </a:pPr>
            <a:r>
              <a:rPr lang="en-US" b="1"/>
              <a:t>Agent Commissions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Cruises Commissions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Job2B!$B$5:$G$5</c:f>
              <c:strCache>
                <c:ptCount val="6"/>
                <c:pt idx="0">
                  <c:v>Agent 1014</c:v>
                </c:pt>
                <c:pt idx="1">
                  <c:v>Agent 1155</c:v>
                </c:pt>
                <c:pt idx="2">
                  <c:v>Agent 1344</c:v>
                </c:pt>
                <c:pt idx="3">
                  <c:v>Agent 1577</c:v>
                </c:pt>
                <c:pt idx="4">
                  <c:v>Agent 1611</c:v>
                </c:pt>
                <c:pt idx="5">
                  <c:v>Agent 1829</c:v>
                </c:pt>
              </c:strCache>
            </c:strRef>
          </c:cat>
          <c:val>
            <c:numRef>
              <c:f>Job2B!$B$14:$G$14</c:f>
              <c:numCache>
                <c:formatCode>_("$"* #,##0_);_("$"* \(#,##0\);_("$"* "-"??_);_(@_)</c:formatCode>
                <c:ptCount val="6"/>
                <c:pt idx="0">
                  <c:v>1648.96</c:v>
                </c:pt>
                <c:pt idx="1">
                  <c:v>1091.32</c:v>
                </c:pt>
                <c:pt idx="2">
                  <c:v>1418.56</c:v>
                </c:pt>
                <c:pt idx="3">
                  <c:v>1505.2</c:v>
                </c:pt>
                <c:pt idx="4">
                  <c:v>2385.88</c:v>
                </c:pt>
                <c:pt idx="5">
                  <c:v>1458.88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C9-4C48-BC4C-99E7A5F32B0D}"/>
            </c:ext>
          </c:extLst>
        </c:ser>
        <c:ser>
          <c:idx val="1"/>
          <c:order val="1"/>
          <c:tx>
            <c:v>Tours Commissions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Job2B!$B$5:$G$5</c:f>
              <c:strCache>
                <c:ptCount val="6"/>
                <c:pt idx="0">
                  <c:v>Agent 1014</c:v>
                </c:pt>
                <c:pt idx="1">
                  <c:v>Agent 1155</c:v>
                </c:pt>
                <c:pt idx="2">
                  <c:v>Agent 1344</c:v>
                </c:pt>
                <c:pt idx="3">
                  <c:v>Agent 1577</c:v>
                </c:pt>
                <c:pt idx="4">
                  <c:v>Agent 1611</c:v>
                </c:pt>
                <c:pt idx="5">
                  <c:v>Agent 1829</c:v>
                </c:pt>
              </c:strCache>
            </c:strRef>
          </c:cat>
          <c:val>
            <c:numRef>
              <c:f>Job2B!$B$25:$G$25</c:f>
              <c:numCache>
                <c:formatCode>_("$"* #,##0_);_("$"* \(#,##0\);_("$"* "-"??_);_(@_)</c:formatCode>
                <c:ptCount val="6"/>
                <c:pt idx="0">
                  <c:v>1622.2500000000002</c:v>
                </c:pt>
                <c:pt idx="1">
                  <c:v>2167.0600000000004</c:v>
                </c:pt>
                <c:pt idx="2">
                  <c:v>1788.9900000000002</c:v>
                </c:pt>
                <c:pt idx="3">
                  <c:v>1279.8100000000002</c:v>
                </c:pt>
                <c:pt idx="4">
                  <c:v>3439.3100000000004</c:v>
                </c:pt>
                <c:pt idx="5">
                  <c:v>1146.3900000000001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C9-4C48-BC4C-99E7A5F32B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53555936"/>
        <c:axId val="1964978912"/>
      </c:barChart>
      <c:catAx>
        <c:axId val="19535559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4978912"/>
        <c:crosses val="autoZero"/>
        <c:auto val="1"/>
        <c:lblAlgn val="ctr"/>
        <c:lblOffset val="100"/>
        <c:noMultiLvlLbl val="0"/>
      </c:catAx>
      <c:valAx>
        <c:axId val="1964978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3555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7620</xdr:colOff>
      <xdr:row>20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58A4C04-6FA1-4658-9135-A1C1C91788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CB8F4-C9D3-4D14-827F-D82DF10C8DD6}">
  <dimension ref="A1:G23"/>
  <sheetViews>
    <sheetView workbookViewId="0">
      <selection activeCell="J14" sqref="J14"/>
    </sheetView>
  </sheetViews>
  <sheetFormatPr defaultRowHeight="14.45"/>
  <cols>
    <col min="1" max="1" width="16.85546875" customWidth="1"/>
    <col min="2" max="7" width="9.7109375" bestFit="1" customWidth="1"/>
  </cols>
  <sheetData>
    <row r="1" spans="1:7" ht="18.399999999999999">
      <c r="A1" s="14" t="s">
        <v>0</v>
      </c>
      <c r="B1" s="14"/>
      <c r="C1" s="14"/>
      <c r="D1" s="14"/>
      <c r="E1" s="14"/>
      <c r="F1" s="14"/>
      <c r="G1" s="14"/>
    </row>
    <row r="2" spans="1:7" ht="18.399999999999999">
      <c r="A2" s="14" t="s">
        <v>1</v>
      </c>
      <c r="B2" s="14"/>
      <c r="C2" s="14"/>
      <c r="D2" s="14"/>
      <c r="E2" s="14"/>
      <c r="F2" s="14"/>
      <c r="G2" s="14"/>
    </row>
    <row r="4" spans="1:7">
      <c r="B4" s="13" t="s">
        <v>2</v>
      </c>
      <c r="C4" s="13"/>
      <c r="D4" s="13"/>
      <c r="E4" s="13"/>
      <c r="F4" s="13"/>
      <c r="G4" s="13"/>
    </row>
    <row r="5" spans="1:7" ht="28.9">
      <c r="A5" s="2" t="s">
        <v>3</v>
      </c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6" t="s">
        <v>9</v>
      </c>
    </row>
    <row r="6" spans="1:7">
      <c r="A6" s="1">
        <v>45108</v>
      </c>
      <c r="B6" s="5">
        <v>10350</v>
      </c>
      <c r="C6" s="5">
        <v>716</v>
      </c>
      <c r="D6" s="5">
        <v>6953</v>
      </c>
      <c r="E6" s="5">
        <v>2236</v>
      </c>
      <c r="F6" s="5">
        <v>8343</v>
      </c>
      <c r="G6" s="5">
        <v>4556</v>
      </c>
    </row>
    <row r="7" spans="1:7">
      <c r="A7" s="1">
        <v>45139</v>
      </c>
      <c r="B7" s="5">
        <v>7795</v>
      </c>
      <c r="C7" s="5">
        <v>3759</v>
      </c>
      <c r="D7" s="5">
        <v>6182</v>
      </c>
      <c r="E7" s="5">
        <v>11912</v>
      </c>
      <c r="F7" s="5">
        <v>5867</v>
      </c>
      <c r="G7" s="5">
        <v>8609</v>
      </c>
    </row>
    <row r="8" spans="1:7">
      <c r="A8" s="1">
        <v>45170</v>
      </c>
      <c r="B8" s="5">
        <v>8152</v>
      </c>
      <c r="C8" s="5">
        <v>7595</v>
      </c>
      <c r="D8" s="5">
        <v>5395</v>
      </c>
      <c r="E8" s="5">
        <v>4824</v>
      </c>
      <c r="F8" s="5">
        <v>12190</v>
      </c>
      <c r="G8" s="5">
        <v>5913</v>
      </c>
    </row>
    <row r="9" spans="1:7">
      <c r="A9" s="1">
        <v>45200</v>
      </c>
      <c r="B9" s="5">
        <v>5982</v>
      </c>
      <c r="C9" s="5">
        <v>5642</v>
      </c>
      <c r="D9" s="5">
        <v>2039</v>
      </c>
      <c r="E9" s="5">
        <v>4321</v>
      </c>
      <c r="F9" s="5">
        <v>12009</v>
      </c>
      <c r="G9" s="5">
        <v>7306</v>
      </c>
    </row>
    <row r="10" spans="1:7">
      <c r="A10" s="1">
        <v>45231</v>
      </c>
      <c r="B10" s="5">
        <v>5547</v>
      </c>
      <c r="C10" s="5">
        <v>6830</v>
      </c>
      <c r="D10" s="5">
        <v>5777</v>
      </c>
      <c r="E10" s="5">
        <v>7320</v>
      </c>
      <c r="F10" s="5">
        <v>11769</v>
      </c>
      <c r="G10" s="5">
        <v>4777</v>
      </c>
    </row>
    <row r="11" spans="1:7">
      <c r="A11" s="1">
        <v>45261</v>
      </c>
      <c r="B11" s="5">
        <v>3398</v>
      </c>
      <c r="C11" s="5">
        <v>2741</v>
      </c>
      <c r="D11" s="5">
        <v>9118</v>
      </c>
      <c r="E11" s="5">
        <v>7017</v>
      </c>
      <c r="F11" s="5">
        <v>9469</v>
      </c>
      <c r="G11" s="5">
        <v>5311</v>
      </c>
    </row>
    <row r="12" spans="1:7">
      <c r="A12" s="4" t="s">
        <v>10</v>
      </c>
      <c r="B12" s="5">
        <f>SUM(B6:B11)</f>
        <v>41224</v>
      </c>
      <c r="C12" s="5">
        <f t="shared" ref="C12:G12" si="0">SUM(C6:C11)</f>
        <v>27283</v>
      </c>
      <c r="D12" s="5">
        <f t="shared" si="0"/>
        <v>35464</v>
      </c>
      <c r="E12" s="5">
        <f t="shared" si="0"/>
        <v>37630</v>
      </c>
      <c r="F12" s="5">
        <f t="shared" si="0"/>
        <v>59647</v>
      </c>
      <c r="G12" s="5">
        <f t="shared" si="0"/>
        <v>36472</v>
      </c>
    </row>
    <row r="13" spans="1:7">
      <c r="A13" s="4" t="s">
        <v>11</v>
      </c>
      <c r="B13" s="5">
        <f>AVERAGE(B6:B11)</f>
        <v>6870.666666666667</v>
      </c>
      <c r="C13" s="5">
        <f t="shared" ref="C13:G13" si="1">AVERAGE(C6:C11)</f>
        <v>4547.166666666667</v>
      </c>
      <c r="D13" s="5">
        <f t="shared" si="1"/>
        <v>5910.666666666667</v>
      </c>
      <c r="E13" s="5">
        <f t="shared" si="1"/>
        <v>6271.666666666667</v>
      </c>
      <c r="F13" s="5">
        <f t="shared" si="1"/>
        <v>9941.1666666666661</v>
      </c>
      <c r="G13" s="5">
        <f t="shared" si="1"/>
        <v>6078.666666666667</v>
      </c>
    </row>
    <row r="14" spans="1:7">
      <c r="B14" s="5"/>
      <c r="C14" s="5"/>
      <c r="D14" s="5"/>
      <c r="E14" s="5"/>
      <c r="F14" s="5"/>
      <c r="G14" s="5"/>
    </row>
    <row r="15" spans="1:7">
      <c r="A15" s="2" t="s">
        <v>12</v>
      </c>
      <c r="B15" s="5"/>
      <c r="C15" s="5"/>
      <c r="D15" s="5"/>
      <c r="E15" s="5"/>
      <c r="F15" s="5"/>
      <c r="G15" s="5"/>
    </row>
    <row r="16" spans="1:7">
      <c r="A16" s="1">
        <v>45108</v>
      </c>
      <c r="B16" s="5">
        <v>5252</v>
      </c>
      <c r="C16" s="5">
        <v>6420</v>
      </c>
      <c r="D16" s="5">
        <v>1445</v>
      </c>
      <c r="E16" s="5">
        <v>1944</v>
      </c>
      <c r="F16" s="5">
        <v>8164</v>
      </c>
      <c r="G16" s="5">
        <v>1241</v>
      </c>
    </row>
    <row r="17" spans="1:7">
      <c r="A17" s="1">
        <v>45139</v>
      </c>
      <c r="B17" s="5">
        <v>1092</v>
      </c>
      <c r="C17" s="5">
        <v>8996</v>
      </c>
      <c r="D17" s="5">
        <v>6093</v>
      </c>
      <c r="E17" s="5">
        <v>2493</v>
      </c>
      <c r="F17" s="5">
        <v>8542</v>
      </c>
      <c r="G17" s="5">
        <v>2400</v>
      </c>
    </row>
    <row r="18" spans="1:7">
      <c r="A18" s="1">
        <v>45170</v>
      </c>
      <c r="B18" s="5">
        <v>4839</v>
      </c>
      <c r="C18" s="5">
        <v>5209</v>
      </c>
      <c r="D18" s="5">
        <v>4092</v>
      </c>
      <c r="E18" s="5">
        <v>1588</v>
      </c>
      <c r="F18" s="5">
        <v>9643</v>
      </c>
      <c r="G18" s="5">
        <v>2579</v>
      </c>
    </row>
    <row r="19" spans="1:7">
      <c r="A19" s="1">
        <v>45200</v>
      </c>
      <c r="B19" s="5">
        <v>4615</v>
      </c>
      <c r="C19" s="5">
        <v>4940</v>
      </c>
      <c r="D19" s="5">
        <v>5209</v>
      </c>
      <c r="E19" s="5">
        <v>1536</v>
      </c>
      <c r="F19" s="5">
        <v>7511</v>
      </c>
      <c r="G19" s="5">
        <v>5051</v>
      </c>
    </row>
    <row r="20" spans="1:7">
      <c r="A20" s="1">
        <v>45231</v>
      </c>
      <c r="B20" s="5">
        <v>5962</v>
      </c>
      <c r="C20" s="5">
        <v>2657</v>
      </c>
      <c r="D20" s="5">
        <v>7620</v>
      </c>
      <c r="E20" s="5">
        <v>3683</v>
      </c>
      <c r="F20" s="5">
        <v>8284</v>
      </c>
      <c r="G20" s="5">
        <v>3162</v>
      </c>
    </row>
    <row r="21" spans="1:7">
      <c r="A21" s="1">
        <v>45261</v>
      </c>
      <c r="B21" s="5">
        <v>1415</v>
      </c>
      <c r="C21" s="5">
        <v>2736</v>
      </c>
      <c r="D21" s="5">
        <v>1098</v>
      </c>
      <c r="E21" s="5">
        <v>7039</v>
      </c>
      <c r="F21" s="5">
        <v>6989</v>
      </c>
      <c r="G21" s="5">
        <v>1944</v>
      </c>
    </row>
    <row r="22" spans="1:7">
      <c r="A22" s="2" t="s">
        <v>10</v>
      </c>
      <c r="B22" s="5">
        <f>SUM(B16:B21)</f>
        <v>23175</v>
      </c>
      <c r="C22" s="5">
        <f t="shared" ref="C22:G22" si="2">SUM(C16:C21)</f>
        <v>30958</v>
      </c>
      <c r="D22" s="5">
        <f t="shared" si="2"/>
        <v>25557</v>
      </c>
      <c r="E22" s="5">
        <f t="shared" si="2"/>
        <v>18283</v>
      </c>
      <c r="F22" s="5">
        <f t="shared" si="2"/>
        <v>49133</v>
      </c>
      <c r="G22" s="5">
        <f t="shared" si="2"/>
        <v>16377</v>
      </c>
    </row>
    <row r="23" spans="1:7">
      <c r="A23" s="2" t="s">
        <v>11</v>
      </c>
      <c r="B23" s="5">
        <f>AVERAGE(B16:B21)</f>
        <v>3862.5</v>
      </c>
      <c r="C23" s="5">
        <f t="shared" ref="C23:G23" si="3">AVERAGE(C16:C21)</f>
        <v>5159.666666666667</v>
      </c>
      <c r="D23" s="5">
        <f t="shared" si="3"/>
        <v>4259.5</v>
      </c>
      <c r="E23" s="5">
        <f t="shared" si="3"/>
        <v>3047.1666666666665</v>
      </c>
      <c r="F23" s="5">
        <f t="shared" si="3"/>
        <v>8188.833333333333</v>
      </c>
      <c r="G23" s="5">
        <f t="shared" si="3"/>
        <v>2729.5</v>
      </c>
    </row>
  </sheetData>
  <mergeCells count="3">
    <mergeCell ref="B4:G4"/>
    <mergeCell ref="A1:G1"/>
    <mergeCell ref="A2:G2"/>
  </mergeCells>
  <pageMargins left="0.7" right="0.7" top="0.75" bottom="0.75" header="0.3" footer="0.3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FBA9E-B3BF-4A22-B6E9-6A3545E10F40}">
  <sheetPr>
    <pageSetUpPr fitToPage="1"/>
  </sheetPr>
  <dimension ref="A1:I23"/>
  <sheetViews>
    <sheetView workbookViewId="0">
      <selection activeCell="N18" sqref="N18"/>
    </sheetView>
  </sheetViews>
  <sheetFormatPr defaultRowHeight="14.45"/>
  <cols>
    <col min="1" max="1" width="19.5703125" customWidth="1"/>
    <col min="2" max="2" width="9" bestFit="1" customWidth="1"/>
  </cols>
  <sheetData>
    <row r="1" spans="1:9" ht="18.399999999999999">
      <c r="A1" s="14" t="s">
        <v>0</v>
      </c>
      <c r="B1" s="14"/>
      <c r="C1" s="14"/>
      <c r="D1" s="14"/>
      <c r="E1" s="14"/>
      <c r="F1" s="14"/>
      <c r="G1" s="14"/>
    </row>
    <row r="2" spans="1:9" ht="18.399999999999999">
      <c r="A2" s="14" t="s">
        <v>1</v>
      </c>
      <c r="B2" s="14"/>
      <c r="C2" s="14"/>
      <c r="D2" s="14"/>
      <c r="E2" s="14"/>
      <c r="F2" s="14"/>
      <c r="G2" s="14"/>
    </row>
    <row r="4" spans="1:9">
      <c r="A4" s="9"/>
      <c r="B4" s="15" t="s">
        <v>2</v>
      </c>
      <c r="C4" s="15"/>
      <c r="D4" s="15"/>
      <c r="E4" s="15"/>
      <c r="F4" s="15"/>
      <c r="G4" s="15"/>
      <c r="I4" s="2"/>
    </row>
    <row r="5" spans="1:9" ht="28.9">
      <c r="A5" s="10" t="s">
        <v>3</v>
      </c>
      <c r="B5" s="11" t="s">
        <v>4</v>
      </c>
      <c r="C5" s="11" t="s">
        <v>5</v>
      </c>
      <c r="D5" s="11" t="s">
        <v>6</v>
      </c>
      <c r="E5" s="11" t="s">
        <v>7</v>
      </c>
      <c r="F5" s="11" t="s">
        <v>8</v>
      </c>
      <c r="G5" s="11" t="s">
        <v>9</v>
      </c>
      <c r="I5" s="3"/>
    </row>
    <row r="6" spans="1:9">
      <c r="A6" s="1">
        <v>45108</v>
      </c>
      <c r="B6" s="5">
        <v>10350</v>
      </c>
      <c r="C6" s="5">
        <v>716</v>
      </c>
      <c r="D6" s="5">
        <v>6953</v>
      </c>
      <c r="E6" s="5">
        <v>2236</v>
      </c>
      <c r="F6" s="5">
        <v>8343</v>
      </c>
      <c r="G6" s="5">
        <v>4556</v>
      </c>
    </row>
    <row r="7" spans="1:9">
      <c r="A7" s="1">
        <v>45139</v>
      </c>
      <c r="B7" s="5">
        <v>7795</v>
      </c>
      <c r="C7" s="5">
        <v>3759</v>
      </c>
      <c r="D7" s="5">
        <v>6182</v>
      </c>
      <c r="E7" s="5">
        <v>11912</v>
      </c>
      <c r="F7" s="5">
        <v>5867</v>
      </c>
      <c r="G7" s="5">
        <v>8609</v>
      </c>
    </row>
    <row r="8" spans="1:9">
      <c r="A8" s="1">
        <v>45170</v>
      </c>
      <c r="B8" s="5">
        <v>8152</v>
      </c>
      <c r="C8" s="5">
        <v>7595</v>
      </c>
      <c r="D8" s="5">
        <v>5395</v>
      </c>
      <c r="E8" s="5">
        <v>4824</v>
      </c>
      <c r="F8" s="5">
        <v>12190</v>
      </c>
      <c r="G8" s="5">
        <v>5913</v>
      </c>
    </row>
    <row r="9" spans="1:9">
      <c r="A9" s="1">
        <v>45200</v>
      </c>
      <c r="B9" s="5">
        <v>5982</v>
      </c>
      <c r="C9" s="5">
        <v>5642</v>
      </c>
      <c r="D9" s="5">
        <v>2039</v>
      </c>
      <c r="E9" s="5">
        <v>4321</v>
      </c>
      <c r="F9" s="5">
        <v>12009</v>
      </c>
      <c r="G9" s="5">
        <v>7306</v>
      </c>
    </row>
    <row r="10" spans="1:9">
      <c r="A10" s="1">
        <v>45231</v>
      </c>
      <c r="B10" s="5">
        <v>5547</v>
      </c>
      <c r="C10" s="5">
        <v>6830</v>
      </c>
      <c r="D10" s="5">
        <v>5777</v>
      </c>
      <c r="E10" s="5">
        <v>7320</v>
      </c>
      <c r="F10" s="5">
        <v>11769</v>
      </c>
      <c r="G10" s="5">
        <v>4777</v>
      </c>
    </row>
    <row r="11" spans="1:9">
      <c r="A11" s="1">
        <v>45261</v>
      </c>
      <c r="B11" s="5">
        <v>3398</v>
      </c>
      <c r="C11" s="5">
        <v>2741</v>
      </c>
      <c r="D11" s="5">
        <v>9118</v>
      </c>
      <c r="E11" s="5">
        <v>7017</v>
      </c>
      <c r="F11" s="5">
        <v>9469</v>
      </c>
      <c r="G11" s="5">
        <v>5311</v>
      </c>
    </row>
    <row r="12" spans="1:9">
      <c r="A12" s="4" t="s">
        <v>10</v>
      </c>
      <c r="B12" s="7">
        <f>SUM(B6:B11)</f>
        <v>41224</v>
      </c>
      <c r="C12" s="7">
        <f t="shared" ref="C12:G12" si="0">SUM(C6:C11)</f>
        <v>27283</v>
      </c>
      <c r="D12" s="7">
        <f t="shared" si="0"/>
        <v>35464</v>
      </c>
      <c r="E12" s="7">
        <f t="shared" si="0"/>
        <v>37630</v>
      </c>
      <c r="F12" s="7">
        <f t="shared" si="0"/>
        <v>59647</v>
      </c>
      <c r="G12" s="7">
        <f t="shared" si="0"/>
        <v>36472</v>
      </c>
    </row>
    <row r="13" spans="1:9">
      <c r="A13" s="4" t="s">
        <v>11</v>
      </c>
      <c r="B13" s="7">
        <f>AVERAGE(B6:B11)</f>
        <v>6870.666666666667</v>
      </c>
      <c r="C13" s="7">
        <f t="shared" ref="C13:G13" si="1">AVERAGE(C6:C11)</f>
        <v>4547.166666666667</v>
      </c>
      <c r="D13" s="7">
        <f t="shared" si="1"/>
        <v>5910.666666666667</v>
      </c>
      <c r="E13" s="7">
        <f t="shared" si="1"/>
        <v>6271.666666666667</v>
      </c>
      <c r="F13" s="7">
        <f t="shared" si="1"/>
        <v>9941.1666666666661</v>
      </c>
      <c r="G13" s="7">
        <f t="shared" si="1"/>
        <v>6078.666666666667</v>
      </c>
    </row>
    <row r="14" spans="1:9">
      <c r="B14" s="5"/>
      <c r="C14" s="5"/>
      <c r="D14" s="5"/>
      <c r="E14" s="5"/>
      <c r="F14" s="5"/>
      <c r="G14" s="5"/>
    </row>
    <row r="15" spans="1:9">
      <c r="A15" s="2" t="s">
        <v>12</v>
      </c>
      <c r="B15" s="5"/>
      <c r="C15" s="5"/>
      <c r="D15" s="5"/>
      <c r="E15" s="5"/>
      <c r="F15" s="5"/>
      <c r="G15" s="5"/>
      <c r="I15" s="3"/>
    </row>
    <row r="16" spans="1:9">
      <c r="A16" s="1">
        <v>45108</v>
      </c>
      <c r="B16" s="5">
        <v>5252</v>
      </c>
      <c r="C16" s="5">
        <v>6420</v>
      </c>
      <c r="D16" s="5">
        <v>1445</v>
      </c>
      <c r="E16" s="5">
        <v>1944</v>
      </c>
      <c r="F16" s="5">
        <v>8164</v>
      </c>
      <c r="G16" s="5">
        <v>1241</v>
      </c>
    </row>
    <row r="17" spans="1:7">
      <c r="A17" s="1">
        <v>45139</v>
      </c>
      <c r="B17" s="5">
        <v>1092</v>
      </c>
      <c r="C17" s="5">
        <v>8996</v>
      </c>
      <c r="D17" s="5">
        <v>6093</v>
      </c>
      <c r="E17" s="5">
        <v>2493</v>
      </c>
      <c r="F17" s="5">
        <v>8542</v>
      </c>
      <c r="G17" s="5">
        <v>2400</v>
      </c>
    </row>
    <row r="18" spans="1:7">
      <c r="A18" s="1">
        <v>45170</v>
      </c>
      <c r="B18" s="5">
        <v>4839</v>
      </c>
      <c r="C18" s="5">
        <v>5209</v>
      </c>
      <c r="D18" s="5">
        <v>4092</v>
      </c>
      <c r="E18" s="5">
        <v>1588</v>
      </c>
      <c r="F18" s="5">
        <v>9643</v>
      </c>
      <c r="G18" s="5">
        <v>2579</v>
      </c>
    </row>
    <row r="19" spans="1:7">
      <c r="A19" s="1">
        <v>45200</v>
      </c>
      <c r="B19" s="5">
        <v>4615</v>
      </c>
      <c r="C19" s="5">
        <v>4940</v>
      </c>
      <c r="D19" s="5">
        <v>5209</v>
      </c>
      <c r="E19" s="5">
        <v>1536</v>
      </c>
      <c r="F19" s="5">
        <v>7511</v>
      </c>
      <c r="G19" s="5">
        <v>5051</v>
      </c>
    </row>
    <row r="20" spans="1:7">
      <c r="A20" s="1">
        <v>45231</v>
      </c>
      <c r="B20" s="5">
        <v>5962</v>
      </c>
      <c r="C20" s="5">
        <v>2657</v>
      </c>
      <c r="D20" s="5">
        <v>7620</v>
      </c>
      <c r="E20" s="5">
        <v>3683</v>
      </c>
      <c r="F20" s="5">
        <v>8284</v>
      </c>
      <c r="G20" s="5">
        <v>3162</v>
      </c>
    </row>
    <row r="21" spans="1:7">
      <c r="A21" s="1">
        <v>45261</v>
      </c>
      <c r="B21" s="5">
        <v>1415</v>
      </c>
      <c r="C21" s="5">
        <v>2736</v>
      </c>
      <c r="D21" s="5">
        <v>1098</v>
      </c>
      <c r="E21" s="5">
        <v>7039</v>
      </c>
      <c r="F21" s="5">
        <v>6989</v>
      </c>
      <c r="G21" s="5">
        <v>1944</v>
      </c>
    </row>
    <row r="22" spans="1:7">
      <c r="A22" s="2" t="s">
        <v>10</v>
      </c>
      <c r="B22" s="7">
        <f>SUM(B16:B21)</f>
        <v>23175</v>
      </c>
      <c r="C22" s="7">
        <f t="shared" ref="C22:G22" si="2">SUM(C16:C21)</f>
        <v>30958</v>
      </c>
      <c r="D22" s="7">
        <f t="shared" si="2"/>
        <v>25557</v>
      </c>
      <c r="E22" s="7">
        <f t="shared" si="2"/>
        <v>18283</v>
      </c>
      <c r="F22" s="7">
        <f t="shared" si="2"/>
        <v>49133</v>
      </c>
      <c r="G22" s="7">
        <f t="shared" si="2"/>
        <v>16377</v>
      </c>
    </row>
    <row r="23" spans="1:7">
      <c r="A23" s="2" t="s">
        <v>11</v>
      </c>
      <c r="B23" s="7">
        <f>AVERAGE(B16:B21)</f>
        <v>3862.5</v>
      </c>
      <c r="C23" s="7">
        <f t="shared" ref="C23:G23" si="3">AVERAGE(C16:C21)</f>
        <v>5159.666666666667</v>
      </c>
      <c r="D23" s="7">
        <f t="shared" si="3"/>
        <v>4259.5</v>
      </c>
      <c r="E23" s="7">
        <f t="shared" si="3"/>
        <v>3047.1666666666665</v>
      </c>
      <c r="F23" s="7">
        <f t="shared" si="3"/>
        <v>8188.833333333333</v>
      </c>
      <c r="G23" s="7">
        <f t="shared" si="3"/>
        <v>2729.5</v>
      </c>
    </row>
  </sheetData>
  <mergeCells count="3">
    <mergeCell ref="A1:G1"/>
    <mergeCell ref="A2:G2"/>
    <mergeCell ref="B4:G4"/>
  </mergeCells>
  <conditionalFormatting sqref="B23:G23">
    <cfRule type="cellIs" dxfId="9" priority="6" operator="greaterThan">
      <formula>4000</formula>
    </cfRule>
    <cfRule type="cellIs" dxfId="8" priority="1" operator="greaterThan">
      <formula>4000</formula>
    </cfRule>
  </conditionalFormatting>
  <conditionalFormatting sqref="B13">
    <cfRule type="cellIs" dxfId="7" priority="5" operator="greaterThan">
      <formula>6871</formula>
    </cfRule>
  </conditionalFormatting>
  <conditionalFormatting sqref="B13:G13">
    <cfRule type="cellIs" dxfId="6" priority="8" operator="greaterThan">
      <formula>6000</formula>
    </cfRule>
    <cfRule type="top10" priority="9" rank="3"/>
    <cfRule type="cellIs" dxfId="5" priority="10" operator="greaterThan">
      <formula>6000</formula>
    </cfRule>
    <cfRule type="cellIs" dxfId="4" priority="2" operator="greaterThan">
      <formula>6000</formula>
    </cfRule>
  </conditionalFormatting>
  <pageMargins left="0.7" right="0.7" top="0.75" bottom="0.75" header="0.3" footer="0.3"/>
  <pageSetup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5A778-8D8B-40BD-9703-818EA456B8AB}">
  <dimension ref="A1:I25"/>
  <sheetViews>
    <sheetView workbookViewId="0">
      <selection activeCell="B14" sqref="B14"/>
    </sheetView>
  </sheetViews>
  <sheetFormatPr defaultRowHeight="14.45"/>
  <cols>
    <col min="1" max="1" width="17.42578125" customWidth="1"/>
    <col min="2" max="2" width="8.42578125" customWidth="1"/>
    <col min="3" max="3" width="9.140625" customWidth="1"/>
    <col min="4" max="5" width="8.5703125" customWidth="1"/>
    <col min="6" max="6" width="9" customWidth="1"/>
    <col min="7" max="7" width="8.85546875" customWidth="1"/>
  </cols>
  <sheetData>
    <row r="1" spans="1:9" ht="20.45">
      <c r="A1" s="16" t="s">
        <v>0</v>
      </c>
      <c r="B1" s="16"/>
      <c r="C1" s="16"/>
      <c r="D1" s="16"/>
      <c r="E1" s="16"/>
      <c r="F1" s="16"/>
      <c r="G1" s="16"/>
    </row>
    <row r="2" spans="1:9" ht="18.399999999999999">
      <c r="A2" s="14" t="s">
        <v>1</v>
      </c>
      <c r="B2" s="14"/>
      <c r="C2" s="14"/>
      <c r="D2" s="14"/>
      <c r="E2" s="14"/>
      <c r="F2" s="14"/>
      <c r="G2" s="14"/>
    </row>
    <row r="4" spans="1:9" ht="14.65" thickBot="1">
      <c r="A4" s="9"/>
      <c r="B4" s="15" t="s">
        <v>2</v>
      </c>
      <c r="C4" s="15"/>
      <c r="D4" s="15"/>
      <c r="E4" s="15"/>
      <c r="F4" s="15"/>
      <c r="G4" s="15"/>
      <c r="I4" s="2" t="s">
        <v>13</v>
      </c>
    </row>
    <row r="5" spans="1:9" ht="29.45" thickTop="1" thickBot="1">
      <c r="A5" s="10" t="s">
        <v>3</v>
      </c>
      <c r="B5" s="11" t="s">
        <v>4</v>
      </c>
      <c r="C5" s="11" t="s">
        <v>5</v>
      </c>
      <c r="D5" s="11" t="s">
        <v>6</v>
      </c>
      <c r="E5" s="11" t="s">
        <v>7</v>
      </c>
      <c r="F5" s="11" t="s">
        <v>8</v>
      </c>
      <c r="G5" s="11" t="s">
        <v>9</v>
      </c>
      <c r="I5" s="12">
        <v>0.04</v>
      </c>
    </row>
    <row r="6" spans="1:9" ht="14.65" thickTop="1">
      <c r="A6" s="1">
        <v>45108</v>
      </c>
      <c r="B6" s="5">
        <v>10350</v>
      </c>
      <c r="C6" s="5">
        <v>716</v>
      </c>
      <c r="D6" s="5">
        <v>6953</v>
      </c>
      <c r="E6" s="5">
        <v>2236</v>
      </c>
      <c r="F6" s="5">
        <v>8343</v>
      </c>
      <c r="G6" s="5">
        <v>4556</v>
      </c>
    </row>
    <row r="7" spans="1:9">
      <c r="A7" s="1">
        <v>45139</v>
      </c>
      <c r="B7" s="5">
        <v>7795</v>
      </c>
      <c r="C7" s="5">
        <v>3759</v>
      </c>
      <c r="D7" s="5">
        <v>6182</v>
      </c>
      <c r="E7" s="5">
        <v>11912</v>
      </c>
      <c r="F7" s="5">
        <v>5867</v>
      </c>
      <c r="G7" s="5">
        <v>8609</v>
      </c>
    </row>
    <row r="8" spans="1:9">
      <c r="A8" s="1">
        <v>45170</v>
      </c>
      <c r="B8" s="5">
        <v>8152</v>
      </c>
      <c r="C8" s="5">
        <v>7595</v>
      </c>
      <c r="D8" s="5">
        <v>5395</v>
      </c>
      <c r="E8" s="5">
        <v>4824</v>
      </c>
      <c r="F8" s="5">
        <v>12190</v>
      </c>
      <c r="G8" s="5">
        <v>5913</v>
      </c>
    </row>
    <row r="9" spans="1:9">
      <c r="A9" s="1">
        <v>45200</v>
      </c>
      <c r="B9" s="5">
        <v>5982</v>
      </c>
      <c r="C9" s="5">
        <v>5642</v>
      </c>
      <c r="D9" s="5">
        <v>2039</v>
      </c>
      <c r="E9" s="5">
        <v>4321</v>
      </c>
      <c r="F9" s="5">
        <v>12009</v>
      </c>
      <c r="G9" s="5">
        <v>7306</v>
      </c>
    </row>
    <row r="10" spans="1:9">
      <c r="A10" s="1">
        <v>45231</v>
      </c>
      <c r="B10" s="5">
        <v>5547</v>
      </c>
      <c r="C10" s="5">
        <v>6830</v>
      </c>
      <c r="D10" s="5">
        <v>5777</v>
      </c>
      <c r="E10" s="5">
        <v>7320</v>
      </c>
      <c r="F10" s="5">
        <v>11769</v>
      </c>
      <c r="G10" s="5">
        <v>4777</v>
      </c>
    </row>
    <row r="11" spans="1:9">
      <c r="A11" s="1">
        <v>45261</v>
      </c>
      <c r="B11" s="5">
        <v>3398</v>
      </c>
      <c r="C11" s="5">
        <v>2741</v>
      </c>
      <c r="D11" s="5">
        <v>9118</v>
      </c>
      <c r="E11" s="5">
        <v>7017</v>
      </c>
      <c r="F11" s="5">
        <v>9469</v>
      </c>
      <c r="G11" s="5">
        <v>5311</v>
      </c>
    </row>
    <row r="12" spans="1:9">
      <c r="A12" s="4" t="s">
        <v>10</v>
      </c>
      <c r="B12" s="7">
        <f>SUM(B6:B11)</f>
        <v>41224</v>
      </c>
      <c r="C12" s="7">
        <f t="shared" ref="C12:G12" si="0">SUM(C6:C11)</f>
        <v>27283</v>
      </c>
      <c r="D12" s="7">
        <f t="shared" si="0"/>
        <v>35464</v>
      </c>
      <c r="E12" s="7">
        <f t="shared" si="0"/>
        <v>37630</v>
      </c>
      <c r="F12" s="7">
        <f t="shared" si="0"/>
        <v>59647</v>
      </c>
      <c r="G12" s="7">
        <f t="shared" si="0"/>
        <v>36472</v>
      </c>
    </row>
    <row r="13" spans="1:9">
      <c r="A13" s="4" t="s">
        <v>11</v>
      </c>
      <c r="B13" s="7">
        <f>AVERAGE(B6:B11)</f>
        <v>6870.666666666667</v>
      </c>
      <c r="C13" s="7">
        <f t="shared" ref="C13:G13" si="1">AVERAGE(C6:C11)</f>
        <v>4547.166666666667</v>
      </c>
      <c r="D13" s="7">
        <f t="shared" si="1"/>
        <v>5910.666666666667</v>
      </c>
      <c r="E13" s="7">
        <f t="shared" si="1"/>
        <v>6271.666666666667</v>
      </c>
      <c r="F13" s="7">
        <f t="shared" si="1"/>
        <v>9941.1666666666661</v>
      </c>
      <c r="G13" s="7">
        <f t="shared" si="1"/>
        <v>6078.666666666667</v>
      </c>
    </row>
    <row r="14" spans="1:9">
      <c r="A14" s="4" t="s">
        <v>14</v>
      </c>
      <c r="B14" s="8">
        <f>B12*$I$5</f>
        <v>1648.96</v>
      </c>
      <c r="C14" s="8">
        <f t="shared" ref="C14:G14" si="2">C12*$I$5</f>
        <v>1091.32</v>
      </c>
      <c r="D14" s="8">
        <f t="shared" si="2"/>
        <v>1418.56</v>
      </c>
      <c r="E14" s="8">
        <f t="shared" si="2"/>
        <v>1505.2</v>
      </c>
      <c r="F14" s="8">
        <f t="shared" si="2"/>
        <v>2385.88</v>
      </c>
      <c r="G14" s="8">
        <f t="shared" si="2"/>
        <v>1458.88</v>
      </c>
    </row>
    <row r="15" spans="1:9" ht="14.65" thickBot="1">
      <c r="B15" s="5"/>
      <c r="C15" s="5"/>
      <c r="D15" s="5"/>
      <c r="E15" s="5"/>
      <c r="F15" s="5"/>
      <c r="G15" s="5"/>
    </row>
    <row r="16" spans="1:9" ht="15" thickTop="1" thickBot="1">
      <c r="A16" s="2" t="s">
        <v>12</v>
      </c>
      <c r="B16" s="5"/>
      <c r="C16" s="5"/>
      <c r="D16" s="5"/>
      <c r="E16" s="5"/>
      <c r="F16" s="5"/>
      <c r="G16" s="5"/>
      <c r="I16" s="12">
        <v>7.0000000000000007E-2</v>
      </c>
    </row>
    <row r="17" spans="1:7" ht="14.65" thickTop="1">
      <c r="A17" s="1">
        <v>45108</v>
      </c>
      <c r="B17" s="5">
        <v>5252</v>
      </c>
      <c r="C17" s="5">
        <v>6420</v>
      </c>
      <c r="D17" s="5">
        <v>1445</v>
      </c>
      <c r="E17" s="5">
        <v>1944</v>
      </c>
      <c r="F17" s="5">
        <v>8164</v>
      </c>
      <c r="G17" s="5">
        <v>1241</v>
      </c>
    </row>
    <row r="18" spans="1:7">
      <c r="A18" s="1">
        <v>45139</v>
      </c>
      <c r="B18" s="5">
        <v>1092</v>
      </c>
      <c r="C18" s="5">
        <v>8996</v>
      </c>
      <c r="D18" s="5">
        <v>6093</v>
      </c>
      <c r="E18" s="5">
        <v>2493</v>
      </c>
      <c r="F18" s="5">
        <v>8542</v>
      </c>
      <c r="G18" s="5">
        <v>2400</v>
      </c>
    </row>
    <row r="19" spans="1:7">
      <c r="A19" s="1">
        <v>45170</v>
      </c>
      <c r="B19" s="5">
        <v>4839</v>
      </c>
      <c r="C19" s="5">
        <v>5209</v>
      </c>
      <c r="D19" s="5">
        <v>4092</v>
      </c>
      <c r="E19" s="5">
        <v>1588</v>
      </c>
      <c r="F19" s="5">
        <v>9643</v>
      </c>
      <c r="G19" s="5">
        <v>2579</v>
      </c>
    </row>
    <row r="20" spans="1:7">
      <c r="A20" s="1">
        <v>45200</v>
      </c>
      <c r="B20" s="5">
        <v>4615</v>
      </c>
      <c r="C20" s="5">
        <v>4940</v>
      </c>
      <c r="D20" s="5">
        <v>5209</v>
      </c>
      <c r="E20" s="5">
        <v>1536</v>
      </c>
      <c r="F20" s="5">
        <v>7511</v>
      </c>
      <c r="G20" s="5">
        <v>5051</v>
      </c>
    </row>
    <row r="21" spans="1:7">
      <c r="A21" s="1">
        <v>45231</v>
      </c>
      <c r="B21" s="5">
        <v>5962</v>
      </c>
      <c r="C21" s="5">
        <v>2657</v>
      </c>
      <c r="D21" s="5">
        <v>7620</v>
      </c>
      <c r="E21" s="5">
        <v>3683</v>
      </c>
      <c r="F21" s="5">
        <v>8284</v>
      </c>
      <c r="G21" s="5">
        <v>3162</v>
      </c>
    </row>
    <row r="22" spans="1:7">
      <c r="A22" s="1">
        <v>45261</v>
      </c>
      <c r="B22" s="5">
        <v>1415</v>
      </c>
      <c r="C22" s="5">
        <v>2736</v>
      </c>
      <c r="D22" s="5">
        <v>1098</v>
      </c>
      <c r="E22" s="5">
        <v>7039</v>
      </c>
      <c r="F22" s="5">
        <v>6989</v>
      </c>
      <c r="G22" s="5">
        <v>1944</v>
      </c>
    </row>
    <row r="23" spans="1:7">
      <c r="A23" s="2" t="s">
        <v>10</v>
      </c>
      <c r="B23" s="7">
        <f>SUM(B17:B22)</f>
        <v>23175</v>
      </c>
      <c r="C23" s="7">
        <f t="shared" ref="C23:G23" si="3">SUM(C17:C22)</f>
        <v>30958</v>
      </c>
      <c r="D23" s="7">
        <f t="shared" si="3"/>
        <v>25557</v>
      </c>
      <c r="E23" s="7">
        <f t="shared" si="3"/>
        <v>18283</v>
      </c>
      <c r="F23" s="7">
        <f t="shared" si="3"/>
        <v>49133</v>
      </c>
      <c r="G23" s="7">
        <f t="shared" si="3"/>
        <v>16377</v>
      </c>
    </row>
    <row r="24" spans="1:7">
      <c r="A24" s="2" t="s">
        <v>11</v>
      </c>
      <c r="B24" s="7">
        <f>AVERAGE(B17:B22)</f>
        <v>3862.5</v>
      </c>
      <c r="C24" s="7">
        <f t="shared" ref="C24:G24" si="4">AVERAGE(C17:C22)</f>
        <v>5159.666666666667</v>
      </c>
      <c r="D24" s="7">
        <f t="shared" si="4"/>
        <v>4259.5</v>
      </c>
      <c r="E24" s="7">
        <f t="shared" si="4"/>
        <v>3047.1666666666665</v>
      </c>
      <c r="F24" s="7">
        <f t="shared" si="4"/>
        <v>8188.833333333333</v>
      </c>
      <c r="G24" s="7">
        <f t="shared" si="4"/>
        <v>2729.5</v>
      </c>
    </row>
    <row r="25" spans="1:7">
      <c r="A25" s="2" t="s">
        <v>14</v>
      </c>
      <c r="B25" s="8">
        <f>B23*$I$16</f>
        <v>1622.2500000000002</v>
      </c>
      <c r="C25" s="8">
        <f t="shared" ref="C25:G25" si="5">C23*$I$16</f>
        <v>2167.0600000000004</v>
      </c>
      <c r="D25" s="8">
        <f t="shared" si="5"/>
        <v>1788.9900000000002</v>
      </c>
      <c r="E25" s="8">
        <f t="shared" si="5"/>
        <v>1279.8100000000002</v>
      </c>
      <c r="F25" s="8">
        <f t="shared" si="5"/>
        <v>3439.3100000000004</v>
      </c>
      <c r="G25" s="8">
        <f t="shared" si="5"/>
        <v>1146.3900000000001</v>
      </c>
    </row>
  </sheetData>
  <mergeCells count="3">
    <mergeCell ref="A2:G2"/>
    <mergeCell ref="B4:G4"/>
    <mergeCell ref="A1:G1"/>
  </mergeCells>
  <conditionalFormatting sqref="B13:G13">
    <cfRule type="cellIs" dxfId="3" priority="1" operator="greaterThan">
      <formula>6000</formula>
    </cfRule>
    <cfRule type="top10" priority="2" rank="3"/>
    <cfRule type="cellIs" dxfId="2" priority="5" operator="greaterThan">
      <formula>6000</formula>
    </cfRule>
  </conditionalFormatting>
  <conditionalFormatting sqref="B24:G24">
    <cfRule type="cellIs" dxfId="1" priority="4" operator="greaterThan">
      <formula>4000</formula>
    </cfRule>
  </conditionalFormatting>
  <conditionalFormatting sqref="B13">
    <cfRule type="cellIs" dxfId="0" priority="3" operator="greaterThan">
      <formula>6871</formula>
    </cfRule>
  </conditionalFormatting>
  <pageMargins left="0.7" right="0.7" top="0.75" bottom="0.75" header="0.3" footer="0.3"/>
  <pageSetup orientation="portrait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E1921-9AD0-44F2-AAFE-7297F1BB9F46}">
  <dimension ref="A1"/>
  <sheetViews>
    <sheetView tabSelected="1" workbookViewId="0">
      <selection activeCell="N20" sqref="N20"/>
    </sheetView>
  </sheetViews>
  <sheetFormatPr defaultRowHeight="14.45"/>
  <sheetData/>
  <printOptions horizontalCentered="1" verticalCentered="1"/>
  <pageMargins left="0.7" right="0.7" top="0.75" bottom="0.75" header="0.3" footer="0.3"/>
  <pageSetup orientation="landscape" horizontalDpi="4294967293" verticalDpi="4294967293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0E7A9F71624D446A5C8FF2C98AF9792" ma:contentTypeVersion="14" ma:contentTypeDescription="Create a new document." ma:contentTypeScope="" ma:versionID="b2e0ffbfc82a1574079d5eab0f5095a7">
  <xsd:schema xmlns:xsd="http://www.w3.org/2001/XMLSchema" xmlns:xs="http://www.w3.org/2001/XMLSchema" xmlns:p="http://schemas.microsoft.com/office/2006/metadata/properties" xmlns:ns2="039e9714-6d50-452e-b251-2dbe47012caf" xmlns:ns3="95a8a2bb-92c3-4b0c-ab0f-ced3bfbfc2a6" targetNamespace="http://schemas.microsoft.com/office/2006/metadata/properties" ma:root="true" ma:fieldsID="605f79bd873fd39c856e63a2d3741c21" ns2:_="" ns3:_="">
    <xsd:import namespace="039e9714-6d50-452e-b251-2dbe47012caf"/>
    <xsd:import namespace="95a8a2bb-92c3-4b0c-ab0f-ced3bfbfc2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9e9714-6d50-452e-b251-2dbe47012c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f2ac7e9d-6780-422b-b0c8-4b08eebcc15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a8a2bb-92c3-4b0c-ab0f-ced3bfbfc2a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39e9714-6d50-452e-b251-2dbe47012caf">
      <Terms xmlns="http://schemas.microsoft.com/office/infopath/2007/PartnerControls"/>
    </lcf76f155ced4ddcb4097134ff3c332f>
    <SharedWithUsers xmlns="95a8a2bb-92c3-4b0c-ab0f-ced3bfbfc2a6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40005F3B-4CD5-4D12-90C8-318997CE3F66}"/>
</file>

<file path=customXml/itemProps2.xml><?xml version="1.0" encoding="utf-8"?>
<ds:datastoreItem xmlns:ds="http://schemas.openxmlformats.org/officeDocument/2006/customXml" ds:itemID="{3EFBC91A-0ED3-4B1F-885D-18B10CA3463D}"/>
</file>

<file path=customXml/itemProps3.xml><?xml version="1.0" encoding="utf-8"?>
<ds:datastoreItem xmlns:ds="http://schemas.openxmlformats.org/officeDocument/2006/customXml" ds:itemID="{F394D74F-BC1E-4334-9353-B62F09E57F8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Arseneau, Ronalyn</dc:creator>
  <cp:keywords/>
  <dc:description/>
  <cp:lastModifiedBy>Guest User</cp:lastModifiedBy>
  <cp:revision/>
  <dcterms:created xsi:type="dcterms:W3CDTF">2023-01-06T14:50:08Z</dcterms:created>
  <dcterms:modified xsi:type="dcterms:W3CDTF">2023-08-22T22:14:49Z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0x01010040E7A9F71624D446A5C8FF2C98AF9792</vt:lpwstr>
  </property>
  <property fmtid="{D5CDD505-2E9C-101B-9397-08002B2CF9AE}" pid="3" name="Order">
    <vt:r8>1448500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