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\Downloads\"/>
    </mc:Choice>
  </mc:AlternateContent>
  <xr:revisionPtr revIDLastSave="0" documentId="13_ncr:1_{12234BE3-2C24-4B0F-93FF-92B8231EBA93}" xr6:coauthVersionLast="47" xr6:coauthVersionMax="47" xr10:uidLastSave="{00000000-0000-0000-0000-000000000000}"/>
  <bookViews>
    <workbookView xWindow="-120" yWindow="-120" windowWidth="22920" windowHeight="15990" xr2:uid="{3EB68CEF-275C-4517-8161-1191A0891332}"/>
  </bookViews>
  <sheets>
    <sheet name="Sheet1" sheetId="1" r:id="rId1"/>
    <sheet name="Sheet2" sheetId="9" r:id="rId2"/>
  </sheets>
  <definedNames>
    <definedName name="ExternalData_1" localSheetId="1" hidden="1">Sheet2!$A$1:$C$35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84" i="1"/>
  <c r="B81" i="1"/>
  <c r="B79" i="1"/>
  <c r="B69" i="1"/>
  <c r="B64" i="1"/>
  <c r="B55" i="1"/>
  <c r="B53" i="1"/>
  <c r="B44" i="1"/>
  <c r="B37" i="1"/>
  <c r="B33" i="1"/>
  <c r="B26" i="1"/>
  <c r="B22" i="1"/>
  <c r="B18" i="1"/>
  <c r="B15" i="1"/>
  <c r="B12" i="1"/>
  <c r="B6" i="1"/>
  <c r="B88" i="1" s="1"/>
  <c r="E62" i="1" l="1"/>
  <c r="G62" i="1" s="1"/>
  <c r="E74" i="1"/>
  <c r="G74" i="1" s="1"/>
  <c r="E9" i="1"/>
  <c r="G9" i="1" s="1"/>
  <c r="E86" i="1"/>
  <c r="G86" i="1" s="1"/>
  <c r="E29" i="1"/>
  <c r="G29" i="1" s="1"/>
  <c r="E58" i="1"/>
  <c r="G58" i="1" s="1"/>
  <c r="E42" i="1"/>
  <c r="G42" i="1" s="1"/>
  <c r="E70" i="1"/>
  <c r="E25" i="1"/>
  <c r="G25" i="1" s="1"/>
  <c r="E78" i="1"/>
  <c r="G78" i="1" s="1"/>
  <c r="E54" i="1"/>
  <c r="E46" i="1"/>
  <c r="G46" i="1" s="1"/>
  <c r="E16" i="1"/>
  <c r="E82" i="1"/>
  <c r="E34" i="1"/>
  <c r="E67" i="1"/>
  <c r="G67" i="1" s="1"/>
  <c r="E40" i="1"/>
  <c r="G40" i="1" s="1"/>
  <c r="E52" i="1"/>
  <c r="G52" i="1" s="1"/>
  <c r="E47" i="1"/>
  <c r="G47" i="1" s="1"/>
  <c r="E8" i="1"/>
  <c r="G8" i="1" s="1"/>
  <c r="E30" i="1"/>
  <c r="G30" i="1" s="1"/>
  <c r="E75" i="1"/>
  <c r="G75" i="1" s="1"/>
  <c r="E14" i="1"/>
  <c r="G14" i="1" s="1"/>
  <c r="E5" i="1"/>
  <c r="G5" i="1" s="1"/>
  <c r="E80" i="1"/>
  <c r="E21" i="1"/>
  <c r="G21" i="1" s="1"/>
  <c r="E63" i="1"/>
  <c r="G63" i="1" s="1"/>
  <c r="E56" i="1"/>
  <c r="E68" i="1"/>
  <c r="G68" i="1" s="1"/>
  <c r="E60" i="1"/>
  <c r="G60" i="1" s="1"/>
  <c r="E72" i="1"/>
  <c r="G72" i="1" s="1"/>
  <c r="E61" i="1"/>
  <c r="G61" i="1" s="1"/>
  <c r="E77" i="1"/>
  <c r="G77" i="1" s="1"/>
  <c r="E11" i="1"/>
  <c r="G11" i="1" s="1"/>
  <c r="E85" i="1"/>
  <c r="E28" i="1"/>
  <c r="G28" i="1" s="1"/>
  <c r="E59" i="1"/>
  <c r="G59" i="1" s="1"/>
  <c r="E43" i="1"/>
  <c r="G43" i="1" s="1"/>
  <c r="E71" i="1"/>
  <c r="G71" i="1" s="1"/>
  <c r="E36" i="1"/>
  <c r="G36" i="1" s="1"/>
  <c r="E66" i="1"/>
  <c r="G66" i="1" s="1"/>
  <c r="E39" i="1"/>
  <c r="G39" i="1" s="1"/>
  <c r="E50" i="1"/>
  <c r="G50" i="1" s="1"/>
  <c r="E49" i="1"/>
  <c r="G49" i="1" s="1"/>
  <c r="E10" i="1"/>
  <c r="G10" i="1" s="1"/>
  <c r="E31" i="1"/>
  <c r="G31" i="1" s="1"/>
  <c r="E73" i="1"/>
  <c r="G73" i="1" s="1"/>
  <c r="E32" i="1"/>
  <c r="G32" i="1" s="1"/>
  <c r="E20" i="1"/>
  <c r="G20" i="1" s="1"/>
  <c r="E19" i="1"/>
  <c r="E45" i="1"/>
  <c r="E7" i="1"/>
  <c r="E24" i="1"/>
  <c r="G24" i="1" s="1"/>
  <c r="E4" i="1"/>
  <c r="E23" i="1"/>
  <c r="E51" i="1"/>
  <c r="G51" i="1" s="1"/>
  <c r="E48" i="1"/>
  <c r="G48" i="1" s="1"/>
  <c r="E65" i="1"/>
  <c r="E35" i="1"/>
  <c r="G35" i="1" s="1"/>
  <c r="E13" i="1"/>
  <c r="E57" i="1"/>
  <c r="G57" i="1" s="1"/>
  <c r="E38" i="1"/>
  <c r="E17" i="1"/>
  <c r="G17" i="1" s="1"/>
  <c r="E27" i="1"/>
  <c r="E83" i="1"/>
  <c r="G83" i="1" s="1"/>
  <c r="E41" i="1"/>
  <c r="G41" i="1" s="1"/>
  <c r="E76" i="1"/>
  <c r="G76" i="1" s="1"/>
  <c r="D62" i="1"/>
  <c r="D74" i="1"/>
  <c r="D9" i="1"/>
  <c r="D86" i="1"/>
  <c r="D29" i="1"/>
  <c r="D58" i="1"/>
  <c r="D42" i="1"/>
  <c r="D70" i="1"/>
  <c r="D25" i="1"/>
  <c r="D78" i="1"/>
  <c r="D54" i="1"/>
  <c r="D46" i="1"/>
  <c r="D16" i="1"/>
  <c r="D82" i="1"/>
  <c r="D34" i="1"/>
  <c r="D67" i="1"/>
  <c r="D40" i="1"/>
  <c r="D52" i="1"/>
  <c r="D47" i="1"/>
  <c r="D8" i="1"/>
  <c r="D30" i="1"/>
  <c r="D75" i="1"/>
  <c r="D14" i="1"/>
  <c r="D5" i="1"/>
  <c r="D80" i="1"/>
  <c r="D21" i="1"/>
  <c r="D63" i="1"/>
  <c r="D56" i="1"/>
  <c r="D68" i="1"/>
  <c r="D60" i="1"/>
  <c r="D72" i="1"/>
  <c r="D61" i="1"/>
  <c r="D77" i="1"/>
  <c r="D11" i="1"/>
  <c r="D85" i="1"/>
  <c r="D28" i="1"/>
  <c r="D59" i="1"/>
  <c r="D43" i="1"/>
  <c r="D71" i="1"/>
  <c r="D36" i="1"/>
  <c r="D66" i="1"/>
  <c r="D39" i="1"/>
  <c r="D50" i="1"/>
  <c r="D49" i="1"/>
  <c r="D10" i="1"/>
  <c r="D31" i="1"/>
  <c r="D73" i="1"/>
  <c r="D32" i="1"/>
  <c r="D20" i="1"/>
  <c r="D19" i="1"/>
  <c r="D45" i="1"/>
  <c r="D7" i="1"/>
  <c r="D24" i="1"/>
  <c r="D4" i="1"/>
  <c r="D23" i="1"/>
  <c r="D51" i="1"/>
  <c r="D48" i="1"/>
  <c r="D65" i="1"/>
  <c r="D35" i="1"/>
  <c r="D13" i="1"/>
  <c r="D57" i="1"/>
  <c r="D38" i="1"/>
  <c r="D17" i="1"/>
  <c r="D27" i="1"/>
  <c r="D83" i="1"/>
  <c r="D41" i="1"/>
  <c r="D76" i="1"/>
  <c r="G85" i="1" l="1"/>
  <c r="G82" i="1"/>
  <c r="G80" i="1"/>
  <c r="G70" i="1"/>
  <c r="G65" i="1"/>
  <c r="G56" i="1"/>
  <c r="G54" i="1"/>
  <c r="G45" i="1"/>
  <c r="G38" i="1"/>
  <c r="G34" i="1"/>
  <c r="G27" i="1"/>
  <c r="G23" i="1"/>
  <c r="G19" i="1"/>
  <c r="G16" i="1"/>
  <c r="G13" i="1"/>
  <c r="G7" i="1"/>
  <c r="G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D4C744-B02C-4E30-B68C-1FE3CEC6A0D7}" keepAlive="1" name="Query - City-CountyData" description="Connection to the 'City-CountyData' query in the workbook." type="5" refreshedVersion="6" background="1" saveData="1">
    <dbPr connection="Provider=Microsoft.Mashup.OleDb.1;Data Source=$Workbook$;Location=City-CountyData;Extended Properties=&quot;&quot;" command="SELECT * FROM [City-CountyData]"/>
  </connection>
</connections>
</file>

<file path=xl/sharedStrings.xml><?xml version="1.0" encoding="utf-8"?>
<sst xmlns="http://schemas.openxmlformats.org/spreadsheetml/2006/main" count="231" uniqueCount="91">
  <si>
    <t>Current Property Listings</t>
  </si>
  <si>
    <t>Date</t>
  </si>
  <si>
    <t>Listing Price</t>
  </si>
  <si>
    <t>Property Location</t>
  </si>
  <si>
    <t>County</t>
  </si>
  <si>
    <t>Avg Home Price</t>
  </si>
  <si>
    <t xml:space="preserve">Sales Agent </t>
  </si>
  <si>
    <t>Price Compared to Avg Home Price</t>
  </si>
  <si>
    <t>Boardson</t>
  </si>
  <si>
    <t>Grady</t>
  </si>
  <si>
    <t>Springfield</t>
  </si>
  <si>
    <t>Boone</t>
  </si>
  <si>
    <t>Bon Homme Average</t>
  </si>
  <si>
    <t>Aberdeen</t>
  </si>
  <si>
    <t>Alvarez</t>
  </si>
  <si>
    <t>Patel</t>
  </si>
  <si>
    <t>Williams</t>
  </si>
  <si>
    <t>Robinson</t>
  </si>
  <si>
    <t>Brown Average</t>
  </si>
  <si>
    <t>Chamberlain</t>
  </si>
  <si>
    <t>Ford</t>
  </si>
  <si>
    <t>Brule Average</t>
  </si>
  <si>
    <t>Belle Fourche</t>
  </si>
  <si>
    <t>Cedarburg</t>
  </si>
  <si>
    <t>Crenshaw</t>
  </si>
  <si>
    <t>Butte Average</t>
  </si>
  <si>
    <t>Fall City</t>
  </si>
  <si>
    <t>Vermeer</t>
  </si>
  <si>
    <t>Wagner</t>
  </si>
  <si>
    <t>Charles Mix Average</t>
  </si>
  <si>
    <t>Mason</t>
  </si>
  <si>
    <t>Nguyen</t>
  </si>
  <si>
    <t>Vermillion</t>
  </si>
  <si>
    <t>Clay Average</t>
  </si>
  <si>
    <t>Fountainville</t>
  </si>
  <si>
    <t>Wu</t>
  </si>
  <si>
    <t>Mitchell</t>
  </si>
  <si>
    <t>Ogea</t>
  </si>
  <si>
    <t>Watertown</t>
  </si>
  <si>
    <t>Davison Average</t>
  </si>
  <si>
    <t>Milbank</t>
  </si>
  <si>
    <t>Grant Average</t>
  </si>
  <si>
    <t>Germantown</t>
  </si>
  <si>
    <t>Locklear</t>
  </si>
  <si>
    <t>Lead</t>
  </si>
  <si>
    <t>Spearfish</t>
  </si>
  <si>
    <t>Lawrence Average</t>
  </si>
  <si>
    <t>Birmingham</t>
  </si>
  <si>
    <t>Harrisburg</t>
  </si>
  <si>
    <t>Lennox</t>
  </si>
  <si>
    <t>Summerset</t>
  </si>
  <si>
    <t>Lincoln Average</t>
  </si>
  <si>
    <t>Sturgis</t>
  </si>
  <si>
    <t>Meade Average</t>
  </si>
  <si>
    <t>Garretson</t>
  </si>
  <si>
    <t>Grafton</t>
  </si>
  <si>
    <t>Sioux Falls</t>
  </si>
  <si>
    <t>Minnehaha Average</t>
  </si>
  <si>
    <t>Pine Ridge</t>
  </si>
  <si>
    <t>Porcupine</t>
  </si>
  <si>
    <t>Oglala Lakota Average</t>
  </si>
  <si>
    <t>Box Elder</t>
  </si>
  <si>
    <t>Rapid City</t>
  </si>
  <si>
    <t>Smith</t>
  </si>
  <si>
    <t>Rapid Valley</t>
  </si>
  <si>
    <t>Pennington Average</t>
  </si>
  <si>
    <t>Gettysburg</t>
  </si>
  <si>
    <t>Potter Average</t>
  </si>
  <si>
    <t>Dakota Dunes</t>
  </si>
  <si>
    <t>Dayton</t>
  </si>
  <si>
    <t>Union Average</t>
  </si>
  <si>
    <t>Yankton</t>
  </si>
  <si>
    <t>Yankton Average</t>
  </si>
  <si>
    <t>Grand Average</t>
  </si>
  <si>
    <t>City</t>
  </si>
  <si>
    <t>Brown</t>
  </si>
  <si>
    <t>Butte</t>
  </si>
  <si>
    <t>Lincoln</t>
  </si>
  <si>
    <t>Bon Homme</t>
  </si>
  <si>
    <t>Pennington</t>
  </si>
  <si>
    <t>Brule</t>
  </si>
  <si>
    <t>Union</t>
  </si>
  <si>
    <t>Charles Mix</t>
  </si>
  <si>
    <t>Davison</t>
  </si>
  <si>
    <t>Minnehaha</t>
  </si>
  <si>
    <t>Lawrence</t>
  </si>
  <si>
    <t>Potter</t>
  </si>
  <si>
    <t>Clay</t>
  </si>
  <si>
    <t>Grant</t>
  </si>
  <si>
    <t>Oglala Lakota</t>
  </si>
  <si>
    <t>Meade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</si>
</sst>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[$-409]d\-mmm;@"/>
    <numFmt numFmtId="165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/>
        <bgColor theme="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4" fillId="0" borderId="0" applyFont="0" applyFill="0" applyBorder="0" applyAlignment="0" applyProtection="0">
      <alignment horizontal="center" wrapText="1"/>
    </xf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4" fillId="0" borderId="0" xfId="2" applyFont="1" applyFill="1" applyAlignment="1">
      <alignment wrapText="1"/>
    </xf>
    <xf numFmtId="0" fontId="3" fillId="0" borderId="0" xfId="0" applyFont="1" applyAlignment="1">
      <alignment horizontal="center"/>
    </xf>
    <xf numFmtId="0" fontId="4" fillId="3" borderId="0" xfId="2" applyFont="1" applyFill="1" applyAlignment="1">
      <alignment horizontal="center" wrapText="1"/>
    </xf>
    <xf numFmtId="0" fontId="0" fillId="4" borderId="0" xfId="0" applyFill="1"/>
    <xf numFmtId="0" fontId="0" fillId="5" borderId="0" xfId="0" applyFill="1"/>
    <xf numFmtId="164" fontId="0" fillId="4" borderId="0" xfId="0" applyNumberFormat="1" applyFill="1"/>
    <xf numFmtId="0" fontId="6" fillId="4" borderId="0" xfId="4" applyFill="1"/>
    <xf numFmtId="164" fontId="0" fillId="5" borderId="0" xfId="0" applyNumberFormat="1" applyFill="1"/>
    <xf numFmtId="0" fontId="6" fillId="5" borderId="0" xfId="4" applyFill="1"/>
    <xf numFmtId="41" fontId="0" fillId="5" borderId="0" xfId="0" applyNumberFormat="1" applyFill="1"/>
    <xf numFmtId="41" fontId="0" fillId="4" borderId="0" xfId="0" applyNumberFormat="1" applyFill="1"/>
    <xf numFmtId="41" fontId="0" fillId="4" borderId="0" xfId="1" applyNumberFormat="1" applyFont="1" applyFill="1"/>
    <xf numFmtId="41" fontId="0" fillId="5" borderId="0" xfId="1" applyNumberFormat="1" applyFont="1" applyFill="1"/>
    <xf numFmtId="0" fontId="7" fillId="5" borderId="0" xfId="0" applyFont="1" applyFill="1"/>
    <xf numFmtId="0" fontId="7" fillId="4" borderId="0" xfId="0" applyFont="1" applyFill="1"/>
    <xf numFmtId="165" fontId="7" fillId="5" borderId="0" xfId="6" applyNumberFormat="1" applyFont="1" applyFill="1"/>
    <xf numFmtId="165" fontId="7" fillId="0" borderId="0" xfId="6" applyNumberFormat="1" applyFont="1" applyFill="1"/>
    <xf numFmtId="0" fontId="5" fillId="0" borderId="0" xfId="3" applyBorder="1" applyAlignment="1">
      <alignment horizontal="center"/>
    </xf>
    <xf numFmtId="0" fontId="0" fillId="4" borderId="0" xfId="0" applyFill="1" applyBorder="1"/>
    <xf numFmtId="0" fontId="0" fillId="5" borderId="0" xfId="0" applyFill="1" applyBorder="1"/>
  </cellXfs>
  <cellStyles count="7">
    <cellStyle name="Accent6" xfId="2" builtinId="49"/>
    <cellStyle name="Currency" xfId="6" builtinId="4"/>
    <cellStyle name="Heading 1" xfId="3" builtinId="16"/>
    <cellStyle name="Hyperlink" xfId="4" builtinId="8"/>
    <cellStyle name="Normal" xfId="0" builtinId="0"/>
    <cellStyle name="Percent" xfId="1" builtinId="5"/>
    <cellStyle name="Style 1" xfId="5" xr:uid="{758099E4-3737-4722-A74E-89541E663423}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BE46CF-18E4-47E2-88E4-E457633A361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55BB90-6826-44EA-B963-39C677D3C9BC}" name="City_CountyData" displayName="City_CountyData" ref="A1:C35" tableType="queryTable" totalsRowShown="0">
  <autoFilter ref="A1:C35" xr:uid="{66A4A0F3-14D6-4437-BDE0-5E5BD3EAD8FD}"/>
  <tableColumns count="3">
    <tableColumn id="1" xr3:uid="{0741EFCD-F8A7-42D4-82EA-2FFA7C463C06}" uniqueName="1" name="City" queryTableFieldId="1" dataDxfId="1"/>
    <tableColumn id="2" xr3:uid="{1BB3C386-1862-49F4-9E44-6C95BE2DF6A0}" uniqueName="2" name="County" queryTableFieldId="2" dataDxfId="0"/>
    <tableColumn id="3" xr3:uid="{3E253D47-21E2-4B1D-8194-719210E4EA24}" uniqueName="3" name="Avg Home Pric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ouxfalls.org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siouxfalls.org/" TargetMode="External"/><Relationship Id="rId1" Type="http://schemas.openxmlformats.org/officeDocument/2006/relationships/hyperlink" Target="https://www.siouxfalls.org/" TargetMode="External"/><Relationship Id="rId6" Type="http://schemas.openxmlformats.org/officeDocument/2006/relationships/hyperlink" Target="https://www.siouxfalls.org/" TargetMode="External"/><Relationship Id="rId5" Type="http://schemas.openxmlformats.org/officeDocument/2006/relationships/hyperlink" Target="https://www.siouxfalls.org/" TargetMode="External"/><Relationship Id="rId4" Type="http://schemas.openxmlformats.org/officeDocument/2006/relationships/hyperlink" Target="https://www.siouxfalls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4B85-0AEA-4423-9733-F4EA546FF159}">
  <sheetPr>
    <pageSetUpPr fitToPage="1"/>
  </sheetPr>
  <dimension ref="A1:J88"/>
  <sheetViews>
    <sheetView tabSelected="1" zoomScale="85" zoomScaleNormal="85" workbookViewId="0">
      <selection activeCell="I14" sqref="I14"/>
    </sheetView>
  </sheetViews>
  <sheetFormatPr defaultRowHeight="15" outlineLevelRow="2" x14ac:dyDescent="0.25"/>
  <cols>
    <col min="1" max="1" width="9.140625" bestFit="1" customWidth="1"/>
    <col min="2" max="2" width="15.28515625" bestFit="1" customWidth="1"/>
    <col min="3" max="3" width="20.42578125" bestFit="1" customWidth="1"/>
    <col min="4" max="4" width="16.140625" customWidth="1"/>
    <col min="5" max="5" width="11.140625" customWidth="1"/>
    <col min="6" max="6" width="15" bestFit="1" customWidth="1"/>
    <col min="7" max="7" width="12.7109375" customWidth="1"/>
    <col min="8" max="8" width="15.140625" customWidth="1"/>
    <col min="10" max="10" width="11.7109375" bestFit="1" customWidth="1"/>
    <col min="11" max="11" width="11.42578125" bestFit="1" customWidth="1"/>
  </cols>
  <sheetData>
    <row r="1" spans="1:10" ht="19.5" x14ac:dyDescent="0.3">
      <c r="A1" s="18" t="s">
        <v>0</v>
      </c>
      <c r="B1" s="18"/>
      <c r="C1" s="18"/>
      <c r="D1" s="18"/>
      <c r="E1" s="18"/>
      <c r="F1" s="18"/>
      <c r="G1" s="18"/>
      <c r="H1" s="2"/>
    </row>
    <row r="3" spans="1:10" ht="63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</row>
    <row r="4" spans="1:10" outlineLevel="2" x14ac:dyDescent="0.25">
      <c r="A4" s="6">
        <v>45189</v>
      </c>
      <c r="B4" s="4">
        <v>69900</v>
      </c>
      <c r="C4" s="4" t="s">
        <v>8</v>
      </c>
      <c r="D4" s="4" t="str">
        <f>VLOOKUP(Sheet1!$C4,City_CountyData[],2,0)</f>
        <v>Bon Homme</v>
      </c>
      <c r="E4" s="4">
        <f>VLOOKUP(Sheet1!$C4,City_CountyData[],3,0)</f>
        <v>323188</v>
      </c>
      <c r="F4" s="19" t="s">
        <v>9</v>
      </c>
      <c r="G4" s="12">
        <f>Sheet1!$B4-Sheet1!$E4</f>
        <v>-253288</v>
      </c>
    </row>
    <row r="5" spans="1:10" outlineLevel="2" x14ac:dyDescent="0.25">
      <c r="A5" s="8">
        <v>45013</v>
      </c>
      <c r="B5" s="5">
        <v>235000</v>
      </c>
      <c r="C5" s="5" t="s">
        <v>10</v>
      </c>
      <c r="D5" s="5" t="str">
        <f>VLOOKUP(Sheet1!$C5,City_CountyData[],2,0)</f>
        <v>Bon Homme</v>
      </c>
      <c r="E5" s="5">
        <f>VLOOKUP(Sheet1!$C5,City_CountyData[],3,0)</f>
        <v>323188</v>
      </c>
      <c r="F5" s="20" t="s">
        <v>11</v>
      </c>
      <c r="G5" s="13">
        <f>Sheet1!$B5-Sheet1!$E5</f>
        <v>-88188</v>
      </c>
    </row>
    <row r="6" spans="1:10" outlineLevel="1" x14ac:dyDescent="0.25">
      <c r="A6" s="8"/>
      <c r="B6" s="16">
        <f>SUBTOTAL(1,B4:B5)</f>
        <v>152450</v>
      </c>
      <c r="C6" s="5"/>
      <c r="D6" s="14" t="s">
        <v>12</v>
      </c>
      <c r="E6" s="5"/>
      <c r="F6" s="20"/>
      <c r="G6" s="13"/>
    </row>
    <row r="7" spans="1:10" outlineLevel="2" x14ac:dyDescent="0.25">
      <c r="A7" s="6">
        <v>45178</v>
      </c>
      <c r="B7" s="4">
        <v>498000</v>
      </c>
      <c r="C7" s="4" t="s">
        <v>13</v>
      </c>
      <c r="D7" s="4" t="str">
        <f>VLOOKUP(Sheet1!$C7,City_CountyData[],2,0)</f>
        <v>Brown</v>
      </c>
      <c r="E7" s="4">
        <f>VLOOKUP(Sheet1!$C7,City_CountyData[],3,0)</f>
        <v>235241</v>
      </c>
      <c r="F7" s="19" t="s">
        <v>14</v>
      </c>
      <c r="G7" s="12">
        <f>Sheet1!$B7-Sheet1!$E7</f>
        <v>262759</v>
      </c>
    </row>
    <row r="8" spans="1:10" outlineLevel="2" x14ac:dyDescent="0.25">
      <c r="A8" s="8">
        <v>45002</v>
      </c>
      <c r="B8" s="5">
        <v>420000</v>
      </c>
      <c r="C8" s="5" t="s">
        <v>13</v>
      </c>
      <c r="D8" s="5" t="str">
        <f>VLOOKUP(Sheet1!$C8,City_CountyData[],2,0)</f>
        <v>Brown</v>
      </c>
      <c r="E8" s="5">
        <f>VLOOKUP(Sheet1!$C8,City_CountyData[],3,0)</f>
        <v>235241</v>
      </c>
      <c r="F8" s="20" t="s">
        <v>15</v>
      </c>
      <c r="G8" s="13">
        <f>Sheet1!$B8-Sheet1!$E8</f>
        <v>184759</v>
      </c>
    </row>
    <row r="9" spans="1:10" outlineLevel="2" x14ac:dyDescent="0.25">
      <c r="A9" s="6">
        <v>44941</v>
      </c>
      <c r="B9" s="4">
        <v>299000</v>
      </c>
      <c r="C9" s="4" t="s">
        <v>13</v>
      </c>
      <c r="D9" s="4" t="str">
        <f>VLOOKUP(Sheet1!$C9,City_CountyData[],2,0)</f>
        <v>Brown</v>
      </c>
      <c r="E9" s="4">
        <f>VLOOKUP(Sheet1!$C9,City_CountyData[],3,0)</f>
        <v>235241</v>
      </c>
      <c r="F9" s="19" t="s">
        <v>16</v>
      </c>
      <c r="G9" s="12">
        <f>Sheet1!$B9-Sheet1!$E9</f>
        <v>63759</v>
      </c>
      <c r="J9" s="17"/>
    </row>
    <row r="10" spans="1:10" outlineLevel="2" x14ac:dyDescent="0.25">
      <c r="A10" s="8">
        <v>45128</v>
      </c>
      <c r="B10" s="5">
        <v>239900</v>
      </c>
      <c r="C10" s="5" t="s">
        <v>13</v>
      </c>
      <c r="D10" s="5" t="str">
        <f>VLOOKUP(Sheet1!$C10,City_CountyData[],2,0)</f>
        <v>Brown</v>
      </c>
      <c r="E10" s="5">
        <f>VLOOKUP(Sheet1!$C10,City_CountyData[],3,0)</f>
        <v>235241</v>
      </c>
      <c r="F10" s="20" t="s">
        <v>11</v>
      </c>
      <c r="G10" s="13">
        <f>Sheet1!$B10-Sheet1!$E10</f>
        <v>4659</v>
      </c>
    </row>
    <row r="11" spans="1:10" outlineLevel="2" x14ac:dyDescent="0.25">
      <c r="A11" s="6">
        <v>45057</v>
      </c>
      <c r="B11" s="4">
        <v>129400</v>
      </c>
      <c r="C11" s="4" t="s">
        <v>13</v>
      </c>
      <c r="D11" s="4" t="str">
        <f>VLOOKUP(Sheet1!$C11,City_CountyData[],2,0)</f>
        <v>Brown</v>
      </c>
      <c r="E11" s="4">
        <f>VLOOKUP(Sheet1!$C11,City_CountyData[],3,0)</f>
        <v>235241</v>
      </c>
      <c r="F11" s="19" t="s">
        <v>17</v>
      </c>
      <c r="G11" s="12">
        <f>Sheet1!$B11-Sheet1!$E11</f>
        <v>-105841</v>
      </c>
    </row>
    <row r="12" spans="1:10" outlineLevel="1" x14ac:dyDescent="0.25">
      <c r="A12" s="6"/>
      <c r="B12" s="16">
        <f>SUBTOTAL(1,B7:B11)</f>
        <v>317260</v>
      </c>
      <c r="C12" s="4"/>
      <c r="D12" s="15" t="s">
        <v>18</v>
      </c>
      <c r="E12" s="4"/>
      <c r="F12" s="19"/>
      <c r="G12" s="12"/>
    </row>
    <row r="13" spans="1:10" outlineLevel="2" x14ac:dyDescent="0.25">
      <c r="A13" s="8">
        <v>45227</v>
      </c>
      <c r="B13" s="5">
        <v>467000</v>
      </c>
      <c r="C13" s="5" t="s">
        <v>19</v>
      </c>
      <c r="D13" s="5" t="str">
        <f>VLOOKUP(Sheet1!$C13,City_CountyData[],2,0)</f>
        <v>Brule</v>
      </c>
      <c r="E13" s="5">
        <f>VLOOKUP(Sheet1!$C13,City_CountyData[],3,0)</f>
        <v>278201</v>
      </c>
      <c r="F13" s="20" t="s">
        <v>9</v>
      </c>
      <c r="G13" s="13">
        <f>Sheet1!$B13-Sheet1!$E13</f>
        <v>188799</v>
      </c>
    </row>
    <row r="14" spans="1:10" outlineLevel="2" x14ac:dyDescent="0.25">
      <c r="A14" s="6">
        <v>45010</v>
      </c>
      <c r="B14" s="4">
        <v>387000</v>
      </c>
      <c r="C14" s="4" t="s">
        <v>19</v>
      </c>
      <c r="D14" s="4" t="str">
        <f>VLOOKUP(Sheet1!$C14,City_CountyData[],2,0)</f>
        <v>Brule</v>
      </c>
      <c r="E14" s="4">
        <f>VLOOKUP(Sheet1!$C14,City_CountyData[],3,0)</f>
        <v>278201</v>
      </c>
      <c r="F14" s="19" t="s">
        <v>20</v>
      </c>
      <c r="G14" s="12">
        <f>Sheet1!$B14-Sheet1!$E14</f>
        <v>108799</v>
      </c>
    </row>
    <row r="15" spans="1:10" outlineLevel="1" x14ac:dyDescent="0.25">
      <c r="A15" s="6"/>
      <c r="B15" s="16">
        <f>SUBTOTAL(1,B13:B14)</f>
        <v>427000</v>
      </c>
      <c r="C15" s="4"/>
      <c r="D15" s="15" t="s">
        <v>21</v>
      </c>
      <c r="E15" s="4"/>
      <c r="F15" s="19"/>
      <c r="G15" s="12"/>
    </row>
    <row r="16" spans="1:10" outlineLevel="2" x14ac:dyDescent="0.25">
      <c r="A16" s="8">
        <v>44982</v>
      </c>
      <c r="B16" s="5">
        <v>379900</v>
      </c>
      <c r="C16" s="5" t="s">
        <v>22</v>
      </c>
      <c r="D16" s="5" t="str">
        <f>VLOOKUP(Sheet1!$C16,City_CountyData[],2,0)</f>
        <v>Butte</v>
      </c>
      <c r="E16" s="5">
        <f>VLOOKUP(Sheet1!$C16,City_CountyData[],3,0)</f>
        <v>179453</v>
      </c>
      <c r="F16" s="20" t="s">
        <v>14</v>
      </c>
      <c r="G16" s="13">
        <f>Sheet1!$B16-Sheet1!$E16</f>
        <v>200447</v>
      </c>
    </row>
    <row r="17" spans="1:7" outlineLevel="2" x14ac:dyDescent="0.25">
      <c r="A17" s="6">
        <v>45260</v>
      </c>
      <c r="B17" s="4">
        <v>526900</v>
      </c>
      <c r="C17" s="4" t="s">
        <v>23</v>
      </c>
      <c r="D17" s="4" t="str">
        <f>VLOOKUP(Sheet1!$C17,City_CountyData[],2,0)</f>
        <v>Butte</v>
      </c>
      <c r="E17" s="4">
        <f>VLOOKUP(Sheet1!$C17,City_CountyData[],3,0)</f>
        <v>179453</v>
      </c>
      <c r="F17" s="19" t="s">
        <v>24</v>
      </c>
      <c r="G17" s="12">
        <f>Sheet1!$B17-Sheet1!$E17</f>
        <v>347447</v>
      </c>
    </row>
    <row r="18" spans="1:7" outlineLevel="1" x14ac:dyDescent="0.25">
      <c r="A18" s="6"/>
      <c r="B18" s="16">
        <f>SUBTOTAL(1,B16:B17)</f>
        <v>453400</v>
      </c>
      <c r="C18" s="4"/>
      <c r="D18" s="15" t="s">
        <v>25</v>
      </c>
      <c r="E18" s="4"/>
      <c r="F18" s="19"/>
      <c r="G18" s="12"/>
    </row>
    <row r="19" spans="1:7" outlineLevel="2" x14ac:dyDescent="0.25">
      <c r="A19" s="8">
        <v>45169</v>
      </c>
      <c r="B19" s="5">
        <v>46900</v>
      </c>
      <c r="C19" s="5" t="s">
        <v>26</v>
      </c>
      <c r="D19" s="5" t="str">
        <f>VLOOKUP(Sheet1!$C19,City_CountyData[],2,0)</f>
        <v>Charles Mix</v>
      </c>
      <c r="E19" s="5">
        <f>VLOOKUP(Sheet1!$C19,City_CountyData[],3,0)</f>
        <v>188622</v>
      </c>
      <c r="F19" s="20" t="s">
        <v>27</v>
      </c>
      <c r="G19" s="13">
        <f>Sheet1!$B19-Sheet1!$E19</f>
        <v>-141722</v>
      </c>
    </row>
    <row r="20" spans="1:7" outlineLevel="2" x14ac:dyDescent="0.25">
      <c r="A20" s="6">
        <v>45162</v>
      </c>
      <c r="B20" s="4">
        <v>269000</v>
      </c>
      <c r="C20" s="4" t="s">
        <v>28</v>
      </c>
      <c r="D20" s="4" t="str">
        <f>VLOOKUP(Sheet1!$C20,City_CountyData[],2,0)</f>
        <v>Charles Mix</v>
      </c>
      <c r="E20" s="4">
        <f>VLOOKUP(Sheet1!$C20,City_CountyData[],3,0)</f>
        <v>188622</v>
      </c>
      <c r="F20" s="19" t="s">
        <v>14</v>
      </c>
      <c r="G20" s="12">
        <f>Sheet1!$B20-Sheet1!$E20</f>
        <v>80378</v>
      </c>
    </row>
    <row r="21" spans="1:7" outlineLevel="2" x14ac:dyDescent="0.25">
      <c r="A21" s="8">
        <v>45023</v>
      </c>
      <c r="B21" s="5">
        <v>104900</v>
      </c>
      <c r="C21" s="5" t="s">
        <v>28</v>
      </c>
      <c r="D21" s="5" t="str">
        <f>VLOOKUP(Sheet1!$C21,City_CountyData[],2,0)</f>
        <v>Charles Mix</v>
      </c>
      <c r="E21" s="5">
        <f>VLOOKUP(Sheet1!$C21,City_CountyData[],3,0)</f>
        <v>188622</v>
      </c>
      <c r="F21" s="20" t="s">
        <v>27</v>
      </c>
      <c r="G21" s="13">
        <f>Sheet1!$B21-Sheet1!$E21</f>
        <v>-83722</v>
      </c>
    </row>
    <row r="22" spans="1:7" outlineLevel="1" x14ac:dyDescent="0.25">
      <c r="A22" s="8"/>
      <c r="B22" s="16">
        <f>SUBTOTAL(1,B19:B21)</f>
        <v>140266.66666666666</v>
      </c>
      <c r="C22" s="5"/>
      <c r="D22" s="14" t="s">
        <v>29</v>
      </c>
      <c r="E22" s="5"/>
      <c r="F22" s="20"/>
      <c r="G22" s="13"/>
    </row>
    <row r="23" spans="1:7" outlineLevel="2" x14ac:dyDescent="0.25">
      <c r="A23" s="6">
        <v>45196</v>
      </c>
      <c r="B23" s="4">
        <v>249500</v>
      </c>
      <c r="C23" s="4" t="s">
        <v>30</v>
      </c>
      <c r="D23" s="4" t="str">
        <f>VLOOKUP(Sheet1!$C23,City_CountyData[],2,0)</f>
        <v>Clay</v>
      </c>
      <c r="E23" s="4">
        <f>VLOOKUP(Sheet1!$C23,City_CountyData[],3,0)</f>
        <v>227418</v>
      </c>
      <c r="F23" s="19" t="s">
        <v>11</v>
      </c>
      <c r="G23" s="12">
        <f>Sheet1!$B23-Sheet1!$E23</f>
        <v>22082</v>
      </c>
    </row>
    <row r="24" spans="1:7" outlineLevel="2" x14ac:dyDescent="0.25">
      <c r="A24" s="8">
        <v>45186</v>
      </c>
      <c r="B24" s="5">
        <v>89900</v>
      </c>
      <c r="C24" s="5" t="s">
        <v>30</v>
      </c>
      <c r="D24" s="5" t="str">
        <f>VLOOKUP(Sheet1!$C24,City_CountyData[],2,0)</f>
        <v>Clay</v>
      </c>
      <c r="E24" s="5">
        <f>VLOOKUP(Sheet1!$C24,City_CountyData[],3,0)</f>
        <v>227418</v>
      </c>
      <c r="F24" s="20" t="s">
        <v>31</v>
      </c>
      <c r="G24" s="13">
        <f>Sheet1!$B24-Sheet1!$E24</f>
        <v>-137518</v>
      </c>
    </row>
    <row r="25" spans="1:7" outlineLevel="2" x14ac:dyDescent="0.25">
      <c r="A25" s="6">
        <v>44969</v>
      </c>
      <c r="B25" s="4">
        <v>105000</v>
      </c>
      <c r="C25" s="4" t="s">
        <v>32</v>
      </c>
      <c r="D25" s="4" t="str">
        <f>VLOOKUP(Sheet1!$C25,City_CountyData[],2,0)</f>
        <v>Clay</v>
      </c>
      <c r="E25" s="4">
        <f>VLOOKUP(Sheet1!$C25,City_CountyData[],3,0)</f>
        <v>227418</v>
      </c>
      <c r="F25" s="19" t="s">
        <v>9</v>
      </c>
      <c r="G25" s="12">
        <f>Sheet1!$B25-Sheet1!$E25</f>
        <v>-122418</v>
      </c>
    </row>
    <row r="26" spans="1:7" outlineLevel="1" x14ac:dyDescent="0.25">
      <c r="A26" s="6"/>
      <c r="B26" s="16">
        <f>SUBTOTAL(1,B23:B25)</f>
        <v>148133.33333333334</v>
      </c>
      <c r="C26" s="4"/>
      <c r="D26" s="15" t="s">
        <v>33</v>
      </c>
      <c r="E26" s="4"/>
      <c r="F26" s="19"/>
      <c r="G26" s="12"/>
    </row>
    <row r="27" spans="1:7" outlineLevel="2" x14ac:dyDescent="0.25">
      <c r="A27" s="8">
        <v>45261</v>
      </c>
      <c r="B27" s="5">
        <v>314000</v>
      </c>
      <c r="C27" s="5" t="s">
        <v>34</v>
      </c>
      <c r="D27" s="5" t="str">
        <f>VLOOKUP(Sheet1!$C27,City_CountyData[],2,0)</f>
        <v>Davison</v>
      </c>
      <c r="E27" s="5">
        <f>VLOOKUP(Sheet1!$C27,City_CountyData[],3,0)</f>
        <v>506274</v>
      </c>
      <c r="F27" s="20" t="s">
        <v>35</v>
      </c>
      <c r="G27" s="13">
        <f>Sheet1!$B27-Sheet1!$E27</f>
        <v>-192274</v>
      </c>
    </row>
    <row r="28" spans="1:7" outlineLevel="2" x14ac:dyDescent="0.25">
      <c r="A28" s="6">
        <v>45067</v>
      </c>
      <c r="B28" s="4">
        <v>590000</v>
      </c>
      <c r="C28" s="4" t="s">
        <v>36</v>
      </c>
      <c r="D28" s="4" t="str">
        <f>VLOOKUP(Sheet1!$C28,City_CountyData[],2,0)</f>
        <v>Davison</v>
      </c>
      <c r="E28" s="4">
        <f>VLOOKUP(Sheet1!$C28,City_CountyData[],3,0)</f>
        <v>506274</v>
      </c>
      <c r="F28" s="19" t="s">
        <v>14</v>
      </c>
      <c r="G28" s="12">
        <f>Sheet1!$B28-Sheet1!$E28</f>
        <v>83726</v>
      </c>
    </row>
    <row r="29" spans="1:7" outlineLevel="2" x14ac:dyDescent="0.25">
      <c r="A29" s="8">
        <v>44954</v>
      </c>
      <c r="B29" s="5">
        <v>287500</v>
      </c>
      <c r="C29" s="5" t="s">
        <v>36</v>
      </c>
      <c r="D29" s="5" t="str">
        <f>VLOOKUP(Sheet1!$C29,City_CountyData[],2,0)</f>
        <v>Davison</v>
      </c>
      <c r="E29" s="5">
        <f>VLOOKUP(Sheet1!$C29,City_CountyData[],3,0)</f>
        <v>506274</v>
      </c>
      <c r="F29" s="20" t="s">
        <v>37</v>
      </c>
      <c r="G29" s="13">
        <f>Sheet1!$B29-Sheet1!$E29</f>
        <v>-218774</v>
      </c>
    </row>
    <row r="30" spans="1:7" outlineLevel="2" x14ac:dyDescent="0.25">
      <c r="A30" s="6">
        <v>45004</v>
      </c>
      <c r="B30" s="4">
        <v>280000</v>
      </c>
      <c r="C30" s="4" t="s">
        <v>36</v>
      </c>
      <c r="D30" s="4" t="str">
        <f>VLOOKUP(Sheet1!$C30,City_CountyData[],2,0)</f>
        <v>Davison</v>
      </c>
      <c r="E30" s="4">
        <f>VLOOKUP(Sheet1!$C30,City_CountyData[],3,0)</f>
        <v>506274</v>
      </c>
      <c r="F30" s="19" t="s">
        <v>14</v>
      </c>
      <c r="G30" s="12">
        <f>Sheet1!$B30-Sheet1!$E30</f>
        <v>-226274</v>
      </c>
    </row>
    <row r="31" spans="1:7" outlineLevel="2" x14ac:dyDescent="0.25">
      <c r="A31" s="8">
        <v>45130</v>
      </c>
      <c r="B31" s="5">
        <v>118000</v>
      </c>
      <c r="C31" s="5" t="s">
        <v>36</v>
      </c>
      <c r="D31" s="5" t="str">
        <f>VLOOKUP(Sheet1!$C31,City_CountyData[],2,0)</f>
        <v>Davison</v>
      </c>
      <c r="E31" s="5">
        <f>VLOOKUP(Sheet1!$C31,City_CountyData[],3,0)</f>
        <v>506274</v>
      </c>
      <c r="F31" s="20" t="s">
        <v>24</v>
      </c>
      <c r="G31" s="13">
        <f>Sheet1!$B31-Sheet1!$E31</f>
        <v>-388274</v>
      </c>
    </row>
    <row r="32" spans="1:7" outlineLevel="2" x14ac:dyDescent="0.25">
      <c r="A32" s="6">
        <v>45156</v>
      </c>
      <c r="B32" s="4">
        <v>298000</v>
      </c>
      <c r="C32" s="4" t="s">
        <v>38</v>
      </c>
      <c r="D32" s="4" t="str">
        <f>VLOOKUP(Sheet1!$C32,City_CountyData[],2,0)</f>
        <v>Davison</v>
      </c>
      <c r="E32" s="4">
        <f>VLOOKUP(Sheet1!$C32,City_CountyData[],3,0)</f>
        <v>506274</v>
      </c>
      <c r="F32" s="19" t="s">
        <v>15</v>
      </c>
      <c r="G32" s="12">
        <f>Sheet1!$B32-Sheet1!$E32</f>
        <v>-208274</v>
      </c>
    </row>
    <row r="33" spans="1:7" outlineLevel="1" x14ac:dyDescent="0.25">
      <c r="A33" s="6"/>
      <c r="B33" s="16">
        <f>SUBTOTAL(1,B27:B32)</f>
        <v>314583.33333333331</v>
      </c>
      <c r="C33" s="4"/>
      <c r="D33" s="15" t="s">
        <v>39</v>
      </c>
      <c r="E33" s="4"/>
      <c r="F33" s="19"/>
      <c r="G33" s="12"/>
    </row>
    <row r="34" spans="1:7" outlineLevel="2" x14ac:dyDescent="0.25">
      <c r="A34" s="8">
        <v>44988</v>
      </c>
      <c r="B34" s="5">
        <v>230000</v>
      </c>
      <c r="C34" s="5" t="s">
        <v>40</v>
      </c>
      <c r="D34" s="5" t="str">
        <f>VLOOKUP(Sheet1!$C34,City_CountyData[],2,0)</f>
        <v>Grant</v>
      </c>
      <c r="E34" s="5">
        <f>VLOOKUP(Sheet1!$C34,City_CountyData[],3,0)</f>
        <v>207661</v>
      </c>
      <c r="F34" s="20" t="s">
        <v>20</v>
      </c>
      <c r="G34" s="13">
        <f>Sheet1!$B34-Sheet1!$E34</f>
        <v>22339</v>
      </c>
    </row>
    <row r="35" spans="1:7" outlineLevel="2" x14ac:dyDescent="0.25">
      <c r="A35" s="6">
        <v>45218</v>
      </c>
      <c r="B35" s="4">
        <v>179000</v>
      </c>
      <c r="C35" s="4" t="s">
        <v>40</v>
      </c>
      <c r="D35" s="4" t="str">
        <f>VLOOKUP(Sheet1!$C35,City_CountyData[],2,0)</f>
        <v>Grant</v>
      </c>
      <c r="E35" s="4">
        <f>VLOOKUP(Sheet1!$C35,City_CountyData[],3,0)</f>
        <v>207661</v>
      </c>
      <c r="F35" s="19" t="s">
        <v>11</v>
      </c>
      <c r="G35" s="12">
        <f>Sheet1!$B35-Sheet1!$E35</f>
        <v>-28661</v>
      </c>
    </row>
    <row r="36" spans="1:7" outlineLevel="2" x14ac:dyDescent="0.25">
      <c r="A36" s="8">
        <v>45092</v>
      </c>
      <c r="B36" s="5">
        <v>112800</v>
      </c>
      <c r="C36" s="5" t="s">
        <v>40</v>
      </c>
      <c r="D36" s="5" t="str">
        <f>VLOOKUP(Sheet1!$C36,City_CountyData[],2,0)</f>
        <v>Grant</v>
      </c>
      <c r="E36" s="5">
        <f>VLOOKUP(Sheet1!$C36,City_CountyData[],3,0)</f>
        <v>207661</v>
      </c>
      <c r="F36" s="20" t="s">
        <v>14</v>
      </c>
      <c r="G36" s="13">
        <f>Sheet1!$B36-Sheet1!$E36</f>
        <v>-94861</v>
      </c>
    </row>
    <row r="37" spans="1:7" outlineLevel="1" x14ac:dyDescent="0.25">
      <c r="A37" s="8"/>
      <c r="B37" s="16">
        <f>SUBTOTAL(1,B34:B36)</f>
        <v>173933.33333333334</v>
      </c>
      <c r="C37" s="5"/>
      <c r="D37" s="14" t="s">
        <v>41</v>
      </c>
      <c r="E37" s="5"/>
      <c r="F37" s="20"/>
      <c r="G37" s="13"/>
    </row>
    <row r="38" spans="1:7" outlineLevel="2" x14ac:dyDescent="0.25">
      <c r="A38" s="6">
        <v>45249</v>
      </c>
      <c r="B38" s="4">
        <v>173000</v>
      </c>
      <c r="C38" s="4" t="s">
        <v>42</v>
      </c>
      <c r="D38" s="4" t="str">
        <f>VLOOKUP(Sheet1!$C38,City_CountyData[],2,0)</f>
        <v>Lawrence</v>
      </c>
      <c r="E38" s="4">
        <f>VLOOKUP(Sheet1!$C38,City_CountyData[],3,0)</f>
        <v>197560</v>
      </c>
      <c r="F38" s="19" t="s">
        <v>43</v>
      </c>
      <c r="G38" s="12">
        <f>Sheet1!$B38-Sheet1!$E38</f>
        <v>-24560</v>
      </c>
    </row>
    <row r="39" spans="1:7" outlineLevel="2" x14ac:dyDescent="0.25">
      <c r="A39" s="8">
        <v>45118</v>
      </c>
      <c r="B39" s="5">
        <v>269000</v>
      </c>
      <c r="C39" s="5" t="s">
        <v>44</v>
      </c>
      <c r="D39" s="5" t="str">
        <f>VLOOKUP(Sheet1!$C39,City_CountyData[],2,0)</f>
        <v>Lawrence</v>
      </c>
      <c r="E39" s="5">
        <f>VLOOKUP(Sheet1!$C39,City_CountyData[],3,0)</f>
        <v>197560</v>
      </c>
      <c r="F39" s="20" t="s">
        <v>35</v>
      </c>
      <c r="G39" s="13">
        <f>Sheet1!$B39-Sheet1!$E39</f>
        <v>71440</v>
      </c>
    </row>
    <row r="40" spans="1:7" outlineLevel="2" x14ac:dyDescent="0.25">
      <c r="A40" s="6">
        <v>44996</v>
      </c>
      <c r="B40" s="4">
        <v>265000</v>
      </c>
      <c r="C40" s="4" t="s">
        <v>44</v>
      </c>
      <c r="D40" s="4" t="str">
        <f>VLOOKUP(Sheet1!$C40,City_CountyData[],2,0)</f>
        <v>Lawrence</v>
      </c>
      <c r="E40" s="4">
        <f>VLOOKUP(Sheet1!$C40,City_CountyData[],3,0)</f>
        <v>197560</v>
      </c>
      <c r="F40" s="19" t="s">
        <v>11</v>
      </c>
      <c r="G40" s="12">
        <f>Sheet1!$B40-Sheet1!$E40</f>
        <v>67440</v>
      </c>
    </row>
    <row r="41" spans="1:7" outlineLevel="2" x14ac:dyDescent="0.25">
      <c r="A41" s="8">
        <v>45281</v>
      </c>
      <c r="B41" s="5">
        <v>141900</v>
      </c>
      <c r="C41" s="5" t="s">
        <v>44</v>
      </c>
      <c r="D41" s="5" t="str">
        <f>VLOOKUP(Sheet1!$C41,City_CountyData[],2,0)</f>
        <v>Lawrence</v>
      </c>
      <c r="E41" s="5">
        <f>VLOOKUP(Sheet1!$C41,City_CountyData[],3,0)</f>
        <v>197560</v>
      </c>
      <c r="F41" s="20" t="s">
        <v>31</v>
      </c>
      <c r="G41" s="13">
        <f>Sheet1!$B41-Sheet1!$E41</f>
        <v>-55660</v>
      </c>
    </row>
    <row r="42" spans="1:7" outlineLevel="2" x14ac:dyDescent="0.25">
      <c r="A42" s="6">
        <v>44961</v>
      </c>
      <c r="B42" s="4">
        <v>350000</v>
      </c>
      <c r="C42" s="4" t="s">
        <v>45</v>
      </c>
      <c r="D42" s="4" t="str">
        <f>VLOOKUP(Sheet1!$C42,City_CountyData[],2,0)</f>
        <v>Lawrence</v>
      </c>
      <c r="E42" s="4">
        <f>VLOOKUP(Sheet1!$C42,City_CountyData[],3,0)</f>
        <v>197560</v>
      </c>
      <c r="F42" s="19" t="s">
        <v>11</v>
      </c>
      <c r="G42" s="12">
        <f>Sheet1!$B42-Sheet1!$E42</f>
        <v>152440</v>
      </c>
    </row>
    <row r="43" spans="1:7" outlineLevel="2" x14ac:dyDescent="0.25">
      <c r="A43" s="8">
        <v>45085</v>
      </c>
      <c r="B43" s="5">
        <v>261000</v>
      </c>
      <c r="C43" s="5" t="s">
        <v>45</v>
      </c>
      <c r="D43" s="5" t="str">
        <f>VLOOKUP(Sheet1!$C43,City_CountyData[],2,0)</f>
        <v>Lawrence</v>
      </c>
      <c r="E43" s="5">
        <f>VLOOKUP(Sheet1!$C43,City_CountyData[],3,0)</f>
        <v>197560</v>
      </c>
      <c r="F43" s="20" t="s">
        <v>43</v>
      </c>
      <c r="G43" s="10">
        <f>Sheet1!$B43-Sheet1!$E43</f>
        <v>63440</v>
      </c>
    </row>
    <row r="44" spans="1:7" outlineLevel="1" x14ac:dyDescent="0.25">
      <c r="A44" s="8"/>
      <c r="B44" s="16">
        <f>SUBTOTAL(1,B38:B43)</f>
        <v>243316.66666666666</v>
      </c>
      <c r="C44" s="5"/>
      <c r="D44" s="14" t="s">
        <v>46</v>
      </c>
      <c r="E44" s="5"/>
      <c r="F44" s="20"/>
      <c r="G44" s="10"/>
    </row>
    <row r="45" spans="1:7" outlineLevel="2" x14ac:dyDescent="0.25">
      <c r="A45" s="6">
        <v>45172</v>
      </c>
      <c r="B45" s="4">
        <v>578000</v>
      </c>
      <c r="C45" s="4" t="s">
        <v>47</v>
      </c>
      <c r="D45" s="4" t="str">
        <f>VLOOKUP(Sheet1!$C45,City_CountyData[],2,0)</f>
        <v>Lincoln</v>
      </c>
      <c r="E45" s="4">
        <f>VLOOKUP(Sheet1!$C45,City_CountyData[],3,0)</f>
        <v>298177</v>
      </c>
      <c r="F45" s="19" t="s">
        <v>20</v>
      </c>
      <c r="G45" s="11">
        <f>Sheet1!$B45-Sheet1!$E45</f>
        <v>279823</v>
      </c>
    </row>
    <row r="46" spans="1:7" outlineLevel="2" x14ac:dyDescent="0.25">
      <c r="A46" s="8">
        <v>44979</v>
      </c>
      <c r="B46" s="5">
        <v>190000</v>
      </c>
      <c r="C46" s="5" t="s">
        <v>48</v>
      </c>
      <c r="D46" s="5" t="str">
        <f>VLOOKUP(Sheet1!$C46,City_CountyData[],2,0)</f>
        <v>Lincoln</v>
      </c>
      <c r="E46" s="5">
        <f>VLOOKUP(Sheet1!$C46,City_CountyData[],3,0)</f>
        <v>298177</v>
      </c>
      <c r="F46" s="20" t="s">
        <v>14</v>
      </c>
      <c r="G46" s="10">
        <f>Sheet1!$B46-Sheet1!$E46</f>
        <v>-108177</v>
      </c>
    </row>
    <row r="47" spans="1:7" outlineLevel="2" x14ac:dyDescent="0.25">
      <c r="A47" s="6">
        <v>44999</v>
      </c>
      <c r="B47" s="4">
        <v>1475000</v>
      </c>
      <c r="C47" s="4" t="s">
        <v>49</v>
      </c>
      <c r="D47" s="4" t="str">
        <f>VLOOKUP(Sheet1!$C47,City_CountyData[],2,0)</f>
        <v>Lincoln</v>
      </c>
      <c r="E47" s="4">
        <f>VLOOKUP(Sheet1!$C47,City_CountyData[],3,0)</f>
        <v>298177</v>
      </c>
      <c r="F47" s="19" t="s">
        <v>35</v>
      </c>
      <c r="G47" s="11">
        <f>Sheet1!$B47-Sheet1!$E47</f>
        <v>1176823</v>
      </c>
    </row>
    <row r="48" spans="1:7" outlineLevel="2" x14ac:dyDescent="0.25">
      <c r="A48" s="8">
        <v>45203</v>
      </c>
      <c r="B48" s="5">
        <v>450000</v>
      </c>
      <c r="C48" s="5" t="s">
        <v>49</v>
      </c>
      <c r="D48" s="5" t="str">
        <f>VLOOKUP(Sheet1!$C48,City_CountyData[],2,0)</f>
        <v>Lincoln</v>
      </c>
      <c r="E48" s="5">
        <f>VLOOKUP(Sheet1!$C48,City_CountyData[],3,0)</f>
        <v>298177</v>
      </c>
      <c r="F48" s="20" t="s">
        <v>37</v>
      </c>
      <c r="G48" s="10">
        <f>Sheet1!$B48-Sheet1!$E48</f>
        <v>151823</v>
      </c>
    </row>
    <row r="49" spans="1:7" outlineLevel="2" x14ac:dyDescent="0.25">
      <c r="A49" s="6">
        <v>45122</v>
      </c>
      <c r="B49" s="4">
        <v>346000</v>
      </c>
      <c r="C49" s="4" t="s">
        <v>49</v>
      </c>
      <c r="D49" s="4" t="str">
        <f>VLOOKUP(Sheet1!$C49,City_CountyData[],2,0)</f>
        <v>Lincoln</v>
      </c>
      <c r="E49" s="4">
        <f>VLOOKUP(Sheet1!$C49,City_CountyData[],3,0)</f>
        <v>298177</v>
      </c>
      <c r="F49" s="19" t="s">
        <v>43</v>
      </c>
      <c r="G49" s="11">
        <f>Sheet1!$B49-Sheet1!$E49</f>
        <v>47823</v>
      </c>
    </row>
    <row r="50" spans="1:7" outlineLevel="2" x14ac:dyDescent="0.25">
      <c r="A50" s="8">
        <v>45121</v>
      </c>
      <c r="B50" s="5">
        <v>799900</v>
      </c>
      <c r="C50" s="5" t="s">
        <v>50</v>
      </c>
      <c r="D50" s="5" t="str">
        <f>VLOOKUP(Sheet1!$C50,City_CountyData[],2,0)</f>
        <v>Lincoln</v>
      </c>
      <c r="E50" s="5">
        <f>VLOOKUP(Sheet1!$C50,City_CountyData[],3,0)</f>
        <v>298177</v>
      </c>
      <c r="F50" s="20" t="s">
        <v>20</v>
      </c>
      <c r="G50" s="10">
        <f>Sheet1!$B50-Sheet1!$E50</f>
        <v>501723</v>
      </c>
    </row>
    <row r="51" spans="1:7" outlineLevel="2" x14ac:dyDescent="0.25">
      <c r="A51" s="6">
        <v>45199</v>
      </c>
      <c r="B51" s="4">
        <v>378400</v>
      </c>
      <c r="C51" s="4" t="s">
        <v>50</v>
      </c>
      <c r="D51" s="4" t="str">
        <f>VLOOKUP(Sheet1!$C51,City_CountyData[],2,0)</f>
        <v>Lincoln</v>
      </c>
      <c r="E51" s="4">
        <f>VLOOKUP(Sheet1!$C51,City_CountyData[],3,0)</f>
        <v>298177</v>
      </c>
      <c r="F51" s="19" t="s">
        <v>24</v>
      </c>
      <c r="G51" s="11">
        <f>Sheet1!$B51-Sheet1!$E51</f>
        <v>80223</v>
      </c>
    </row>
    <row r="52" spans="1:7" outlineLevel="2" x14ac:dyDescent="0.25">
      <c r="A52" s="8">
        <v>44997</v>
      </c>
      <c r="B52" s="5">
        <v>289900</v>
      </c>
      <c r="C52" s="5" t="s">
        <v>50</v>
      </c>
      <c r="D52" s="5" t="str">
        <f>VLOOKUP(Sheet1!$C52,City_CountyData[],2,0)</f>
        <v>Lincoln</v>
      </c>
      <c r="E52" s="5">
        <f>VLOOKUP(Sheet1!$C52,City_CountyData[],3,0)</f>
        <v>298177</v>
      </c>
      <c r="F52" s="20" t="s">
        <v>24</v>
      </c>
      <c r="G52" s="10">
        <f>Sheet1!$B52-Sheet1!$E52</f>
        <v>-8277</v>
      </c>
    </row>
    <row r="53" spans="1:7" outlineLevel="1" x14ac:dyDescent="0.25">
      <c r="A53" s="8"/>
      <c r="B53" s="16">
        <f>SUBTOTAL(1,B45:B52)</f>
        <v>563400</v>
      </c>
      <c r="C53" s="5"/>
      <c r="D53" s="14" t="s">
        <v>51</v>
      </c>
      <c r="E53" s="5"/>
      <c r="F53" s="20"/>
      <c r="G53" s="10"/>
    </row>
    <row r="54" spans="1:7" outlineLevel="2" x14ac:dyDescent="0.25">
      <c r="A54" s="6">
        <v>44975</v>
      </c>
      <c r="B54" s="4">
        <v>364900</v>
      </c>
      <c r="C54" s="4" t="s">
        <v>52</v>
      </c>
      <c r="D54" s="4" t="str">
        <f>VLOOKUP(Sheet1!$C54,City_CountyData[],2,0)</f>
        <v>Meade</v>
      </c>
      <c r="E54" s="4">
        <f>VLOOKUP(Sheet1!$C54,City_CountyData[],3,0)</f>
        <v>368841</v>
      </c>
      <c r="F54" s="19" t="s">
        <v>17</v>
      </c>
      <c r="G54" s="11">
        <f>Sheet1!$B54-Sheet1!$E54</f>
        <v>-3941</v>
      </c>
    </row>
    <row r="55" spans="1:7" outlineLevel="1" x14ac:dyDescent="0.25">
      <c r="A55" s="6"/>
      <c r="B55" s="16">
        <f>SUBTOTAL(1,B54:B54)</f>
        <v>364900</v>
      </c>
      <c r="C55" s="4"/>
      <c r="D55" s="15" t="s">
        <v>53</v>
      </c>
      <c r="E55" s="4"/>
      <c r="F55" s="19"/>
      <c r="G55" s="11"/>
    </row>
    <row r="56" spans="1:7" outlineLevel="2" x14ac:dyDescent="0.25">
      <c r="A56" s="8">
        <v>45026</v>
      </c>
      <c r="B56" s="5">
        <v>159500</v>
      </c>
      <c r="C56" s="5" t="s">
        <v>54</v>
      </c>
      <c r="D56" s="5" t="str">
        <f>VLOOKUP(Sheet1!$C56,City_CountyData[],2,0)</f>
        <v>Minnehaha</v>
      </c>
      <c r="E56" s="5">
        <f>VLOOKUP(Sheet1!$C56,City_CountyData[],3,0)</f>
        <v>388497</v>
      </c>
      <c r="F56" s="20" t="s">
        <v>14</v>
      </c>
      <c r="G56" s="10">
        <f>Sheet1!$B56-Sheet1!$E56</f>
        <v>-228997</v>
      </c>
    </row>
    <row r="57" spans="1:7" outlineLevel="2" x14ac:dyDescent="0.25">
      <c r="A57" s="6">
        <v>45242</v>
      </c>
      <c r="B57" s="4">
        <v>432000</v>
      </c>
      <c r="C57" s="4" t="s">
        <v>55</v>
      </c>
      <c r="D57" s="4" t="str">
        <f>VLOOKUP(Sheet1!$C57,City_CountyData[],2,0)</f>
        <v>Minnehaha</v>
      </c>
      <c r="E57" s="4">
        <f>VLOOKUP(Sheet1!$C57,City_CountyData[],3,0)</f>
        <v>388497</v>
      </c>
      <c r="F57" s="19" t="s">
        <v>17</v>
      </c>
      <c r="G57" s="11">
        <f>Sheet1!$B57-Sheet1!$E57</f>
        <v>43503</v>
      </c>
    </row>
    <row r="58" spans="1:7" outlineLevel="2" x14ac:dyDescent="0.25">
      <c r="A58" s="8">
        <v>44959</v>
      </c>
      <c r="B58" s="5">
        <v>550000</v>
      </c>
      <c r="C58" s="9" t="s">
        <v>56</v>
      </c>
      <c r="D58" s="5" t="str">
        <f>VLOOKUP(Sheet1!$C58,City_CountyData[],2,0)</f>
        <v>Minnehaha</v>
      </c>
      <c r="E58" s="5">
        <f>VLOOKUP(Sheet1!$C58,City_CountyData[],3,0)</f>
        <v>388497</v>
      </c>
      <c r="F58" s="20" t="s">
        <v>17</v>
      </c>
      <c r="G58" s="10">
        <f>Sheet1!$B58-Sheet1!$E58</f>
        <v>161503</v>
      </c>
    </row>
    <row r="59" spans="1:7" outlineLevel="2" x14ac:dyDescent="0.25">
      <c r="A59" s="6">
        <v>45071</v>
      </c>
      <c r="B59" s="4">
        <v>440000</v>
      </c>
      <c r="C59" s="7" t="s">
        <v>56</v>
      </c>
      <c r="D59" s="4" t="str">
        <f>VLOOKUP(Sheet1!$C59,City_CountyData[],2,0)</f>
        <v>Minnehaha</v>
      </c>
      <c r="E59" s="4">
        <f>VLOOKUP(Sheet1!$C59,City_CountyData[],3,0)</f>
        <v>388497</v>
      </c>
      <c r="F59" s="19" t="s">
        <v>9</v>
      </c>
      <c r="G59" s="11">
        <f>Sheet1!$B59-Sheet1!$E59</f>
        <v>51503</v>
      </c>
    </row>
    <row r="60" spans="1:7" outlineLevel="2" x14ac:dyDescent="0.25">
      <c r="A60" s="8">
        <v>45036</v>
      </c>
      <c r="B60" s="5">
        <v>330000</v>
      </c>
      <c r="C60" s="9" t="s">
        <v>56</v>
      </c>
      <c r="D60" s="5" t="str">
        <f>VLOOKUP(Sheet1!$C60,City_CountyData[],2,0)</f>
        <v>Minnehaha</v>
      </c>
      <c r="E60" s="5">
        <f>VLOOKUP(Sheet1!$C60,City_CountyData[],3,0)</f>
        <v>388497</v>
      </c>
      <c r="F60" s="20" t="s">
        <v>9</v>
      </c>
      <c r="G60" s="10">
        <f>Sheet1!$B60-Sheet1!$E60</f>
        <v>-58497</v>
      </c>
    </row>
    <row r="61" spans="1:7" outlineLevel="2" x14ac:dyDescent="0.25">
      <c r="A61" s="6">
        <v>45045</v>
      </c>
      <c r="B61" s="4">
        <v>297000</v>
      </c>
      <c r="C61" s="7" t="s">
        <v>56</v>
      </c>
      <c r="D61" s="4" t="str">
        <f>VLOOKUP(Sheet1!$C61,City_CountyData[],2,0)</f>
        <v>Minnehaha</v>
      </c>
      <c r="E61" s="4">
        <f>VLOOKUP(Sheet1!$C61,City_CountyData[],3,0)</f>
        <v>388497</v>
      </c>
      <c r="F61" s="19" t="s">
        <v>24</v>
      </c>
      <c r="G61" s="11">
        <f>Sheet1!$B61-Sheet1!$E61</f>
        <v>-91497</v>
      </c>
    </row>
    <row r="62" spans="1:7" outlineLevel="2" x14ac:dyDescent="0.25">
      <c r="A62" s="8">
        <v>44934</v>
      </c>
      <c r="B62" s="5">
        <v>245000</v>
      </c>
      <c r="C62" s="9" t="s">
        <v>56</v>
      </c>
      <c r="D62" s="5" t="str">
        <f>VLOOKUP(Sheet1!$C62,City_CountyData[],2,0)</f>
        <v>Minnehaha</v>
      </c>
      <c r="E62" s="5">
        <f>VLOOKUP(Sheet1!$C62,City_CountyData[],3,0)</f>
        <v>388497</v>
      </c>
      <c r="F62" s="20" t="s">
        <v>11</v>
      </c>
      <c r="G62" s="10">
        <f>Sheet1!$B62-Sheet1!$E62</f>
        <v>-143497</v>
      </c>
    </row>
    <row r="63" spans="1:7" outlineLevel="2" x14ac:dyDescent="0.25">
      <c r="A63" s="6">
        <v>45025</v>
      </c>
      <c r="B63" s="4">
        <v>229900</v>
      </c>
      <c r="C63" s="7" t="s">
        <v>56</v>
      </c>
      <c r="D63" s="4" t="str">
        <f>VLOOKUP(Sheet1!$C63,City_CountyData[],2,0)</f>
        <v>Minnehaha</v>
      </c>
      <c r="E63" s="4">
        <f>VLOOKUP(Sheet1!$C63,City_CountyData[],3,0)</f>
        <v>388497</v>
      </c>
      <c r="F63" s="19" t="s">
        <v>20</v>
      </c>
      <c r="G63" s="11">
        <f>Sheet1!$B63-Sheet1!$E63</f>
        <v>-158597</v>
      </c>
    </row>
    <row r="64" spans="1:7" outlineLevel="1" x14ac:dyDescent="0.25">
      <c r="A64" s="6"/>
      <c r="B64" s="16">
        <f>SUBTOTAL(1,B56:B63)</f>
        <v>335425</v>
      </c>
      <c r="C64" s="7"/>
      <c r="D64" s="15" t="s">
        <v>57</v>
      </c>
      <c r="E64" s="4"/>
      <c r="F64" s="19"/>
      <c r="G64" s="11"/>
    </row>
    <row r="65" spans="1:8" outlineLevel="2" x14ac:dyDescent="0.25">
      <c r="A65" s="8">
        <v>45209</v>
      </c>
      <c r="B65" s="5">
        <v>395000</v>
      </c>
      <c r="C65" s="5" t="s">
        <v>58</v>
      </c>
      <c r="D65" s="5" t="str">
        <f>VLOOKUP(Sheet1!$C65,City_CountyData[],2,0)</f>
        <v>Oglala Lakota</v>
      </c>
      <c r="E65" s="5">
        <f>VLOOKUP(Sheet1!$C65,City_CountyData[],3,0)</f>
        <v>201748</v>
      </c>
      <c r="F65" s="20" t="s">
        <v>17</v>
      </c>
      <c r="G65" s="10">
        <f>Sheet1!$B65-Sheet1!$E65</f>
        <v>193252</v>
      </c>
    </row>
    <row r="66" spans="1:8" outlineLevel="2" x14ac:dyDescent="0.25">
      <c r="A66" s="6">
        <v>45104</v>
      </c>
      <c r="B66" s="4">
        <v>284000</v>
      </c>
      <c r="C66" s="4" t="s">
        <v>58</v>
      </c>
      <c r="D66" s="4" t="str">
        <f>VLOOKUP(Sheet1!$C66,City_CountyData[],2,0)</f>
        <v>Oglala Lakota</v>
      </c>
      <c r="E66" s="4">
        <f>VLOOKUP(Sheet1!$C66,City_CountyData[],3,0)</f>
        <v>201748</v>
      </c>
      <c r="F66" s="19" t="s">
        <v>14</v>
      </c>
      <c r="G66" s="11">
        <f>Sheet1!$B66-Sheet1!$E66</f>
        <v>82252</v>
      </c>
    </row>
    <row r="67" spans="1:8" outlineLevel="2" x14ac:dyDescent="0.25">
      <c r="A67" s="8">
        <v>44991</v>
      </c>
      <c r="B67" s="5">
        <v>63900</v>
      </c>
      <c r="C67" s="5" t="s">
        <v>58</v>
      </c>
      <c r="D67" s="5" t="str">
        <f>VLOOKUP(Sheet1!$C67,City_CountyData[],2,0)</f>
        <v>Oglala Lakota</v>
      </c>
      <c r="E67" s="5">
        <f>VLOOKUP(Sheet1!$C67,City_CountyData[],3,0)</f>
        <v>201748</v>
      </c>
      <c r="F67" s="20" t="s">
        <v>43</v>
      </c>
      <c r="G67" s="10">
        <f>Sheet1!$B67-Sheet1!$E67</f>
        <v>-137848</v>
      </c>
    </row>
    <row r="68" spans="1:8" outlineLevel="2" x14ac:dyDescent="0.25">
      <c r="A68" s="6">
        <v>45034</v>
      </c>
      <c r="B68" s="4">
        <v>439000</v>
      </c>
      <c r="C68" s="4" t="s">
        <v>59</v>
      </c>
      <c r="D68" s="4" t="str">
        <f>VLOOKUP(Sheet1!$C68,City_CountyData[],2,0)</f>
        <v>Oglala Lakota</v>
      </c>
      <c r="E68" s="4">
        <f>VLOOKUP(Sheet1!$C68,City_CountyData[],3,0)</f>
        <v>201748</v>
      </c>
      <c r="F68" s="19" t="s">
        <v>31</v>
      </c>
      <c r="G68" s="11">
        <f>Sheet1!$B68-Sheet1!$E68</f>
        <v>237252</v>
      </c>
    </row>
    <row r="69" spans="1:8" outlineLevel="1" x14ac:dyDescent="0.25">
      <c r="A69" s="6"/>
      <c r="B69" s="16">
        <f>SUBTOTAL(1,B65:B68)</f>
        <v>295475</v>
      </c>
      <c r="C69" s="4"/>
      <c r="D69" s="15" t="s">
        <v>60</v>
      </c>
      <c r="E69" s="4"/>
      <c r="F69" s="19"/>
      <c r="G69" s="11"/>
    </row>
    <row r="70" spans="1:8" outlineLevel="2" x14ac:dyDescent="0.25">
      <c r="A70" s="8">
        <v>44966</v>
      </c>
      <c r="B70" s="5">
        <v>299900</v>
      </c>
      <c r="C70" s="5" t="s">
        <v>61</v>
      </c>
      <c r="D70" s="5" t="str">
        <f>VLOOKUP(Sheet1!$C70,City_CountyData[],2,0)</f>
        <v>Pennington</v>
      </c>
      <c r="E70" s="5">
        <f>VLOOKUP(Sheet1!$C70,City_CountyData[],3,0)</f>
        <v>266875</v>
      </c>
      <c r="F70" s="20" t="s">
        <v>14</v>
      </c>
      <c r="G70" s="10">
        <f>Sheet1!$B70-Sheet1!$E70</f>
        <v>33025</v>
      </c>
    </row>
    <row r="71" spans="1:8" outlineLevel="2" x14ac:dyDescent="0.25">
      <c r="A71" s="6">
        <v>45086</v>
      </c>
      <c r="B71" s="4">
        <v>74900</v>
      </c>
      <c r="C71" s="4" t="s">
        <v>61</v>
      </c>
      <c r="D71" s="4" t="str">
        <f>VLOOKUP(Sheet1!$C71,City_CountyData[],2,0)</f>
        <v>Pennington</v>
      </c>
      <c r="E71" s="4">
        <f>VLOOKUP(Sheet1!$C71,City_CountyData[],3,0)</f>
        <v>266875</v>
      </c>
      <c r="F71" s="19" t="s">
        <v>17</v>
      </c>
      <c r="G71" s="11">
        <f>Sheet1!$B71-Sheet1!$E71</f>
        <v>-191975</v>
      </c>
    </row>
    <row r="72" spans="1:8" outlineLevel="2" x14ac:dyDescent="0.25">
      <c r="A72" s="8">
        <v>45042</v>
      </c>
      <c r="B72" s="5">
        <v>635000</v>
      </c>
      <c r="C72" s="5" t="s">
        <v>62</v>
      </c>
      <c r="D72" s="5" t="str">
        <f>VLOOKUP(Sheet1!$C72,City_CountyData[],2,0)</f>
        <v>Pennington</v>
      </c>
      <c r="E72" s="5">
        <f>VLOOKUP(Sheet1!$C72,City_CountyData[],3,0)</f>
        <v>266875</v>
      </c>
      <c r="F72" s="20" t="s">
        <v>11</v>
      </c>
      <c r="G72" s="10">
        <f>Sheet1!$B72-Sheet1!$E72</f>
        <v>368125</v>
      </c>
    </row>
    <row r="73" spans="1:8" outlineLevel="2" x14ac:dyDescent="0.25">
      <c r="A73" s="6">
        <v>45150</v>
      </c>
      <c r="B73" s="4">
        <v>599000</v>
      </c>
      <c r="C73" s="4" t="s">
        <v>62</v>
      </c>
      <c r="D73" s="4" t="str">
        <f>VLOOKUP(Sheet1!$C73,City_CountyData[],2,0)</f>
        <v>Pennington</v>
      </c>
      <c r="E73" s="4">
        <f>VLOOKUP(Sheet1!$C73,City_CountyData[],3,0)</f>
        <v>266875</v>
      </c>
      <c r="F73" s="19" t="s">
        <v>35</v>
      </c>
      <c r="G73" s="11">
        <f>Sheet1!$B73-Sheet1!$E73</f>
        <v>332125</v>
      </c>
    </row>
    <row r="74" spans="1:8" outlineLevel="2" x14ac:dyDescent="0.25">
      <c r="A74" s="8">
        <v>44940</v>
      </c>
      <c r="B74" s="5">
        <v>385000</v>
      </c>
      <c r="C74" s="5" t="s">
        <v>62</v>
      </c>
      <c r="D74" s="5" t="str">
        <f>VLOOKUP(Sheet1!$C74,City_CountyData[],2,0)</f>
        <v>Pennington</v>
      </c>
      <c r="E74" s="5">
        <f>VLOOKUP(Sheet1!$C74,City_CountyData[],3,0)</f>
        <v>266875</v>
      </c>
      <c r="F74" s="20" t="s">
        <v>31</v>
      </c>
      <c r="G74" s="10">
        <f>Sheet1!$B74-Sheet1!$E74</f>
        <v>118125</v>
      </c>
    </row>
    <row r="75" spans="1:8" outlineLevel="2" x14ac:dyDescent="0.25">
      <c r="A75" s="6">
        <v>45008</v>
      </c>
      <c r="B75" s="4">
        <v>275000</v>
      </c>
      <c r="C75" s="4" t="s">
        <v>62</v>
      </c>
      <c r="D75" s="4" t="str">
        <f>VLOOKUP(Sheet1!$C75,City_CountyData[],2,0)</f>
        <v>Pennington</v>
      </c>
      <c r="E75" s="4">
        <f>VLOOKUP(Sheet1!$C75,City_CountyData[],3,0)</f>
        <v>266875</v>
      </c>
      <c r="F75" s="19" t="s">
        <v>63</v>
      </c>
      <c r="G75" s="11">
        <f>Sheet1!$B75-Sheet1!$E75</f>
        <v>8125</v>
      </c>
    </row>
    <row r="76" spans="1:8" outlineLevel="2" x14ac:dyDescent="0.25">
      <c r="A76" s="8">
        <v>45288</v>
      </c>
      <c r="B76" s="5">
        <v>245000</v>
      </c>
      <c r="C76" s="5" t="s">
        <v>62</v>
      </c>
      <c r="D76" s="5" t="str">
        <f>VLOOKUP(Sheet1!$C76,City_CountyData[],2,0)</f>
        <v>Pennington</v>
      </c>
      <c r="E76" s="5">
        <f>VLOOKUP(Sheet1!$C76,City_CountyData[],3,0)</f>
        <v>266875</v>
      </c>
      <c r="F76" s="20" t="s">
        <v>9</v>
      </c>
      <c r="G76" s="10">
        <f>Sheet1!$B76-Sheet1!$E76</f>
        <v>-21875</v>
      </c>
    </row>
    <row r="77" spans="1:8" outlineLevel="2" x14ac:dyDescent="0.25">
      <c r="A77" s="6">
        <v>45046</v>
      </c>
      <c r="B77" s="4">
        <v>144000</v>
      </c>
      <c r="C77" s="4" t="s">
        <v>62</v>
      </c>
      <c r="D77" s="4" t="str">
        <f>VLOOKUP(Sheet1!$C77,City_CountyData[],2,0)</f>
        <v>Pennington</v>
      </c>
      <c r="E77" s="4">
        <f>VLOOKUP(Sheet1!$C77,City_CountyData[],3,0)</f>
        <v>266875</v>
      </c>
      <c r="F77" s="19" t="s">
        <v>37</v>
      </c>
      <c r="G77" s="11">
        <f>Sheet1!$B77-Sheet1!$E77</f>
        <v>-122875</v>
      </c>
    </row>
    <row r="78" spans="1:8" outlineLevel="2" x14ac:dyDescent="0.25">
      <c r="A78" s="8">
        <v>44972</v>
      </c>
      <c r="B78" s="5">
        <v>265000</v>
      </c>
      <c r="C78" s="5" t="s">
        <v>64</v>
      </c>
      <c r="D78" s="5" t="str">
        <f>VLOOKUP(Sheet1!$C78,City_CountyData[],2,0)</f>
        <v>Pennington</v>
      </c>
      <c r="E78" s="5">
        <f>VLOOKUP(Sheet1!$C78,City_CountyData[],3,0)</f>
        <v>266875</v>
      </c>
      <c r="F78" s="20" t="s">
        <v>43</v>
      </c>
      <c r="G78" s="10">
        <f>Sheet1!$B78-Sheet1!$E78</f>
        <v>-1875</v>
      </c>
      <c r="H78" s="17"/>
    </row>
    <row r="79" spans="1:8" outlineLevel="1" x14ac:dyDescent="0.25">
      <c r="A79" s="8"/>
      <c r="B79" s="16">
        <f>SUBTOTAL(1,B70:B78)</f>
        <v>324755.55555555556</v>
      </c>
      <c r="C79" s="5"/>
      <c r="D79" s="14" t="s">
        <v>65</v>
      </c>
      <c r="E79" s="5"/>
      <c r="F79" s="20"/>
      <c r="G79" s="10"/>
    </row>
    <row r="80" spans="1:8" outlineLevel="2" x14ac:dyDescent="0.25">
      <c r="A80" s="6">
        <v>45016</v>
      </c>
      <c r="B80" s="4">
        <v>635000</v>
      </c>
      <c r="C80" s="4" t="s">
        <v>66</v>
      </c>
      <c r="D80" s="4" t="str">
        <f>VLOOKUP(Sheet1!$C80,City_CountyData[],2,0)</f>
        <v>Potter</v>
      </c>
      <c r="E80" s="4">
        <f>VLOOKUP(Sheet1!$C80,City_CountyData[],3,0)</f>
        <v>249762</v>
      </c>
      <c r="F80" s="19" t="s">
        <v>31</v>
      </c>
      <c r="G80" s="11">
        <f>Sheet1!$B80-Sheet1!$E80</f>
        <v>385238</v>
      </c>
    </row>
    <row r="81" spans="1:7" outlineLevel="1" x14ac:dyDescent="0.25">
      <c r="A81" s="6"/>
      <c r="B81" s="16">
        <f>SUBTOTAL(1,B80:B80)</f>
        <v>635000</v>
      </c>
      <c r="C81" s="4"/>
      <c r="D81" s="15" t="s">
        <v>67</v>
      </c>
      <c r="E81" s="4"/>
      <c r="F81" s="19"/>
      <c r="G81" s="11"/>
    </row>
    <row r="82" spans="1:7" outlineLevel="2" x14ac:dyDescent="0.25">
      <c r="A82" s="8">
        <v>44986</v>
      </c>
      <c r="B82" s="5">
        <v>149900</v>
      </c>
      <c r="C82" s="5" t="s">
        <v>68</v>
      </c>
      <c r="D82" s="5" t="str">
        <f>VLOOKUP(Sheet1!$C82,City_CountyData[],2,0)</f>
        <v>Union</v>
      </c>
      <c r="E82" s="5">
        <f>VLOOKUP(Sheet1!$C82,City_CountyData[],3,0)</f>
        <v>339197</v>
      </c>
      <c r="F82" s="20" t="s">
        <v>35</v>
      </c>
      <c r="G82" s="10">
        <f>Sheet1!$B82-Sheet1!$E82</f>
        <v>-189297</v>
      </c>
    </row>
    <row r="83" spans="1:7" outlineLevel="2" x14ac:dyDescent="0.25">
      <c r="A83" s="6">
        <v>45267</v>
      </c>
      <c r="B83" s="4">
        <v>207000</v>
      </c>
      <c r="C83" s="4" t="s">
        <v>69</v>
      </c>
      <c r="D83" s="4" t="str">
        <f>VLOOKUP(Sheet1!$C83,City_CountyData[],2,0)</f>
        <v>Union</v>
      </c>
      <c r="E83" s="4">
        <f>VLOOKUP(Sheet1!$C83,City_CountyData[],3,0)</f>
        <v>339197</v>
      </c>
      <c r="F83" s="19" t="s">
        <v>15</v>
      </c>
      <c r="G83" s="11">
        <f>Sheet1!$B83-Sheet1!$E83</f>
        <v>-132197</v>
      </c>
    </row>
    <row r="84" spans="1:7" outlineLevel="1" x14ac:dyDescent="0.25">
      <c r="A84" s="6"/>
      <c r="B84" s="16">
        <f>SUBTOTAL(1,B82:B83)</f>
        <v>178450</v>
      </c>
      <c r="C84" s="4"/>
      <c r="D84" s="15" t="s">
        <v>70</v>
      </c>
      <c r="E84" s="4"/>
      <c r="F84" s="19"/>
      <c r="G84" s="11"/>
    </row>
    <row r="85" spans="1:7" outlineLevel="2" x14ac:dyDescent="0.25">
      <c r="A85" s="8">
        <v>45062</v>
      </c>
      <c r="B85" s="5">
        <v>357000</v>
      </c>
      <c r="C85" s="5" t="s">
        <v>71</v>
      </c>
      <c r="D85" s="5" t="str">
        <f>VLOOKUP(Sheet1!$C85,City_CountyData[],2,0)</f>
        <v>Yankton</v>
      </c>
      <c r="E85" s="5">
        <f>VLOOKUP(Sheet1!$C85,City_CountyData[],3,0)</f>
        <v>256076</v>
      </c>
      <c r="F85" s="20" t="s">
        <v>11</v>
      </c>
      <c r="G85" s="10">
        <f>Sheet1!$B85-Sheet1!$E85</f>
        <v>100924</v>
      </c>
    </row>
    <row r="86" spans="1:7" outlineLevel="2" x14ac:dyDescent="0.25">
      <c r="A86" s="6">
        <v>44945</v>
      </c>
      <c r="B86" s="16">
        <v>215000</v>
      </c>
      <c r="C86" s="4" t="s">
        <v>71</v>
      </c>
      <c r="D86" s="4" t="str">
        <f>VLOOKUP(Sheet1!$C86,City_CountyData[],2,0)</f>
        <v>Yankton</v>
      </c>
      <c r="E86" s="4">
        <f>VLOOKUP(Sheet1!$C86,City_CountyData[],3,0)</f>
        <v>256076</v>
      </c>
      <c r="F86" s="19" t="s">
        <v>24</v>
      </c>
      <c r="G86" s="11">
        <f>Sheet1!$B86-Sheet1!$E86</f>
        <v>-41076</v>
      </c>
    </row>
    <row r="87" spans="1:7" outlineLevel="1" x14ac:dyDescent="0.25">
      <c r="A87" s="6"/>
      <c r="B87" s="16">
        <f>SUBTOTAL(1,B85:B86)</f>
        <v>286000</v>
      </c>
      <c r="C87" s="4"/>
      <c r="D87" s="15" t="s">
        <v>72</v>
      </c>
      <c r="E87" s="4"/>
      <c r="F87" s="19"/>
      <c r="G87" s="11"/>
    </row>
    <row r="88" spans="1:7" x14ac:dyDescent="0.25">
      <c r="A88" s="6"/>
      <c r="B88" s="16">
        <f>SUBTOTAL(1,B4:B86)</f>
        <v>322544.77611940296</v>
      </c>
      <c r="C88" s="4"/>
      <c r="D88" s="15" t="s">
        <v>73</v>
      </c>
      <c r="E88" s="4"/>
      <c r="F88" s="4"/>
      <c r="G88" s="11"/>
    </row>
  </sheetData>
  <sortState xmlns:xlrd2="http://schemas.microsoft.com/office/spreadsheetml/2017/richdata2" ref="A4:H42">
    <sortCondition ref="A4"/>
  </sortState>
  <mergeCells count="1">
    <mergeCell ref="A1:G1"/>
  </mergeCells>
  <hyperlinks>
    <hyperlink ref="C62" r:id="rId1" xr:uid="{DEB6BDB0-C0BD-4B7C-AC55-37737235985C}"/>
    <hyperlink ref="C58" r:id="rId2" xr:uid="{80F935FA-4478-4A24-9BBB-57211DD4CF82}"/>
    <hyperlink ref="C60" r:id="rId3" xr:uid="{A0240332-FC45-40A3-B2A2-8179A27D7988}"/>
    <hyperlink ref="C61" r:id="rId4" xr:uid="{4D17DCD9-7708-4A62-A5FE-2BAF84AEF19A}"/>
    <hyperlink ref="C59" r:id="rId5" xr:uid="{4DE7ACA2-CDB5-47EF-B157-86EBC09D494C}"/>
    <hyperlink ref="C63" r:id="rId6" xr:uid="{5E7A27DB-BB11-404C-8ECC-C9B81C1125DA}"/>
  </hyperlinks>
  <pageMargins left="0.7" right="0.7" top="0.75" bottom="0.75" header="0.3" footer="0.3"/>
  <pageSetup scale="66" fitToHeight="0" orientation="portrait" horizontalDpi="4294967293" verticalDpi="4294967293"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123900B-3F0D-442A-8B12-5908DA91EB00}">
            <x14:iconSet iconSet="3Arrows" custom="1">
              <x14:cfvo type="percent">
                <xm:f>0</xm:f>
              </x14:cfvo>
              <x14:cfvo type="percent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Arrows" iconId="2"/>
            </x14:iconSet>
          </x14:cfRule>
          <xm:sqref>G4:G88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8ADE-4ED9-4AC7-A990-1F791F5CB1DF}">
  <dimension ref="A1:C35"/>
  <sheetViews>
    <sheetView workbookViewId="0">
      <selection activeCell="C15" sqref="C15"/>
    </sheetView>
  </sheetViews>
  <sheetFormatPr defaultRowHeight="15" x14ac:dyDescent="0.25"/>
  <cols>
    <col min="1" max="1" width="11.7109375" bestFit="1" customWidth="1"/>
    <col min="2" max="2" width="11.42578125" bestFit="1" customWidth="1"/>
    <col min="3" max="3" width="15.7109375" bestFit="1" customWidth="1"/>
  </cols>
  <sheetData>
    <row r="1" spans="1:3" x14ac:dyDescent="0.25">
      <c r="A1" t="s">
        <v>74</v>
      </c>
      <c r="B1" t="s">
        <v>4</v>
      </c>
      <c r="C1" t="s">
        <v>5</v>
      </c>
    </row>
    <row r="2" spans="1:3" x14ac:dyDescent="0.25">
      <c r="A2" t="s">
        <v>13</v>
      </c>
      <c r="B2" t="s">
        <v>75</v>
      </c>
      <c r="C2">
        <v>235241</v>
      </c>
    </row>
    <row r="3" spans="1:3" x14ac:dyDescent="0.25">
      <c r="A3" t="s">
        <v>22</v>
      </c>
      <c r="B3" t="s">
        <v>76</v>
      </c>
      <c r="C3">
        <v>179453</v>
      </c>
    </row>
    <row r="4" spans="1:3" x14ac:dyDescent="0.25">
      <c r="A4" t="s">
        <v>47</v>
      </c>
      <c r="B4" t="s">
        <v>77</v>
      </c>
      <c r="C4">
        <v>298177</v>
      </c>
    </row>
    <row r="5" spans="1:3" x14ac:dyDescent="0.25">
      <c r="A5" t="s">
        <v>8</v>
      </c>
      <c r="B5" t="s">
        <v>78</v>
      </c>
      <c r="C5">
        <v>323188</v>
      </c>
    </row>
    <row r="6" spans="1:3" x14ac:dyDescent="0.25">
      <c r="A6" t="s">
        <v>61</v>
      </c>
      <c r="B6" t="s">
        <v>79</v>
      </c>
      <c r="C6">
        <v>266875</v>
      </c>
    </row>
    <row r="7" spans="1:3" x14ac:dyDescent="0.25">
      <c r="A7" t="s">
        <v>23</v>
      </c>
      <c r="B7" t="s">
        <v>76</v>
      </c>
      <c r="C7">
        <v>179453</v>
      </c>
    </row>
    <row r="8" spans="1:3" x14ac:dyDescent="0.25">
      <c r="A8" t="s">
        <v>19</v>
      </c>
      <c r="B8" t="s">
        <v>80</v>
      </c>
      <c r="C8">
        <v>278201</v>
      </c>
    </row>
    <row r="9" spans="1:3" x14ac:dyDescent="0.25">
      <c r="A9" t="s">
        <v>68</v>
      </c>
      <c r="B9" t="s">
        <v>81</v>
      </c>
      <c r="C9">
        <v>339197</v>
      </c>
    </row>
    <row r="10" spans="1:3" x14ac:dyDescent="0.25">
      <c r="A10" t="s">
        <v>69</v>
      </c>
      <c r="B10" t="s">
        <v>81</v>
      </c>
      <c r="C10">
        <v>339197</v>
      </c>
    </row>
    <row r="11" spans="1:3" x14ac:dyDescent="0.25">
      <c r="A11" t="s">
        <v>26</v>
      </c>
      <c r="B11" t="s">
        <v>82</v>
      </c>
      <c r="C11">
        <v>188622</v>
      </c>
    </row>
    <row r="12" spans="1:3" x14ac:dyDescent="0.25">
      <c r="A12" t="s">
        <v>34</v>
      </c>
      <c r="B12" t="s">
        <v>83</v>
      </c>
      <c r="C12">
        <v>506274</v>
      </c>
    </row>
    <row r="13" spans="1:3" x14ac:dyDescent="0.25">
      <c r="A13" t="s">
        <v>54</v>
      </c>
      <c r="B13" t="s">
        <v>84</v>
      </c>
      <c r="C13">
        <v>388497</v>
      </c>
    </row>
    <row r="14" spans="1:3" x14ac:dyDescent="0.25">
      <c r="A14" t="s">
        <v>42</v>
      </c>
      <c r="B14" t="s">
        <v>85</v>
      </c>
      <c r="C14">
        <v>197560</v>
      </c>
    </row>
    <row r="15" spans="1:3" x14ac:dyDescent="0.25">
      <c r="A15" t="s">
        <v>66</v>
      </c>
      <c r="B15" t="s">
        <v>86</v>
      </c>
      <c r="C15">
        <v>249762</v>
      </c>
    </row>
    <row r="16" spans="1:3" x14ac:dyDescent="0.25">
      <c r="A16" t="s">
        <v>55</v>
      </c>
      <c r="B16" t="s">
        <v>84</v>
      </c>
      <c r="C16">
        <v>388497</v>
      </c>
    </row>
    <row r="17" spans="1:3" x14ac:dyDescent="0.25">
      <c r="A17" t="s">
        <v>48</v>
      </c>
      <c r="B17" t="s">
        <v>77</v>
      </c>
      <c r="C17">
        <v>298177</v>
      </c>
    </row>
    <row r="18" spans="1:3" x14ac:dyDescent="0.25">
      <c r="A18" t="s">
        <v>44</v>
      </c>
      <c r="B18" t="s">
        <v>85</v>
      </c>
      <c r="C18">
        <v>197560</v>
      </c>
    </row>
    <row r="19" spans="1:3" x14ac:dyDescent="0.25">
      <c r="A19" t="s">
        <v>49</v>
      </c>
      <c r="B19" t="s">
        <v>77</v>
      </c>
      <c r="C19">
        <v>298177</v>
      </c>
    </row>
    <row r="20" spans="1:3" x14ac:dyDescent="0.25">
      <c r="A20" t="s">
        <v>30</v>
      </c>
      <c r="B20" t="s">
        <v>87</v>
      </c>
      <c r="C20">
        <v>227418</v>
      </c>
    </row>
    <row r="21" spans="1:3" x14ac:dyDescent="0.25">
      <c r="A21" t="s">
        <v>40</v>
      </c>
      <c r="B21" t="s">
        <v>88</v>
      </c>
      <c r="C21">
        <v>207661</v>
      </c>
    </row>
    <row r="22" spans="1:3" x14ac:dyDescent="0.25">
      <c r="A22" t="s">
        <v>36</v>
      </c>
      <c r="B22" t="s">
        <v>83</v>
      </c>
      <c r="C22">
        <v>506274</v>
      </c>
    </row>
    <row r="23" spans="1:3" x14ac:dyDescent="0.25">
      <c r="A23" t="s">
        <v>58</v>
      </c>
      <c r="B23" t="s">
        <v>89</v>
      </c>
      <c r="C23">
        <v>201748</v>
      </c>
    </row>
    <row r="24" spans="1:3" x14ac:dyDescent="0.25">
      <c r="A24" t="s">
        <v>59</v>
      </c>
      <c r="B24" t="s">
        <v>89</v>
      </c>
      <c r="C24">
        <v>201748</v>
      </c>
    </row>
    <row r="25" spans="1:3" x14ac:dyDescent="0.25">
      <c r="A25" t="s">
        <v>62</v>
      </c>
      <c r="B25" t="s">
        <v>79</v>
      </c>
      <c r="C25">
        <v>266875</v>
      </c>
    </row>
    <row r="26" spans="1:3" x14ac:dyDescent="0.25">
      <c r="A26" t="s">
        <v>64</v>
      </c>
      <c r="B26" t="s">
        <v>79</v>
      </c>
      <c r="C26">
        <v>266875</v>
      </c>
    </row>
    <row r="27" spans="1:3" x14ac:dyDescent="0.25">
      <c r="A27" t="s">
        <v>56</v>
      </c>
      <c r="B27" t="s">
        <v>84</v>
      </c>
      <c r="C27">
        <v>388497</v>
      </c>
    </row>
    <row r="28" spans="1:3" x14ac:dyDescent="0.25">
      <c r="A28" t="s">
        <v>45</v>
      </c>
      <c r="B28" t="s">
        <v>85</v>
      </c>
      <c r="C28">
        <v>197560</v>
      </c>
    </row>
    <row r="29" spans="1:3" x14ac:dyDescent="0.25">
      <c r="A29" t="s">
        <v>10</v>
      </c>
      <c r="B29" t="s">
        <v>78</v>
      </c>
      <c r="C29">
        <v>323188</v>
      </c>
    </row>
    <row r="30" spans="1:3" x14ac:dyDescent="0.25">
      <c r="A30" t="s">
        <v>52</v>
      </c>
      <c r="B30" t="s">
        <v>90</v>
      </c>
      <c r="C30">
        <v>368841</v>
      </c>
    </row>
    <row r="31" spans="1:3" x14ac:dyDescent="0.25">
      <c r="A31" t="s">
        <v>50</v>
      </c>
      <c r="B31" t="s">
        <v>77</v>
      </c>
      <c r="C31">
        <v>298177</v>
      </c>
    </row>
    <row r="32" spans="1:3" x14ac:dyDescent="0.25">
      <c r="A32" t="s">
        <v>32</v>
      </c>
      <c r="B32" t="s">
        <v>87</v>
      </c>
      <c r="C32">
        <v>227418</v>
      </c>
    </row>
    <row r="33" spans="1:3" x14ac:dyDescent="0.25">
      <c r="A33" t="s">
        <v>28</v>
      </c>
      <c r="B33" t="s">
        <v>82</v>
      </c>
      <c r="C33">
        <v>188622</v>
      </c>
    </row>
    <row r="34" spans="1:3" x14ac:dyDescent="0.25">
      <c r="A34" t="s">
        <v>38</v>
      </c>
      <c r="B34" t="s">
        <v>83</v>
      </c>
      <c r="C34">
        <v>506274</v>
      </c>
    </row>
    <row r="35" spans="1:3" x14ac:dyDescent="0.25">
      <c r="A35" t="s">
        <v>71</v>
      </c>
      <c r="B35" t="s">
        <v>71</v>
      </c>
      <c r="C35">
        <v>256076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SharedWithUsers xmlns="95a8a2bb-92c3-4b0c-ab0f-ced3bfbfc2a6">
      <UserInfo>
        <DisplayName/>
        <AccountId xsi:nil="true"/>
        <AccountType/>
      </UserInfo>
    </SharedWithUsers>
    <Notes xmlns="039e9714-6d50-452e-b251-2dbe47012caf" xsi:nil="true"/>
  </documentManagement>
</p:properties>
</file>

<file path=customXml/itemProps1.xml><?xml version="1.0" encoding="utf-8"?>
<ds:datastoreItem xmlns:ds="http://schemas.openxmlformats.org/officeDocument/2006/customXml" ds:itemID="{45171986-0910-4956-8C21-9A7B2231E67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F130C8B-4A7F-4BB6-882D-CB8C2F49BC8B}"/>
</file>

<file path=customXml/itemProps3.xml><?xml version="1.0" encoding="utf-8"?>
<ds:datastoreItem xmlns:ds="http://schemas.openxmlformats.org/officeDocument/2006/customXml" ds:itemID="{75109422-9975-49AD-B869-A28BD1AE98F0}"/>
</file>

<file path=customXml/itemProps4.xml><?xml version="1.0" encoding="utf-8"?>
<ds:datastoreItem xmlns:ds="http://schemas.openxmlformats.org/officeDocument/2006/customXml" ds:itemID="{E95218BD-0145-42F3-B947-8714457FA3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Arseneau, Ronalyn</dc:creator>
  <cp:keywords/>
  <dc:description/>
  <cp:lastModifiedBy>Marie</cp:lastModifiedBy>
  <cp:revision/>
  <dcterms:created xsi:type="dcterms:W3CDTF">2023-01-15T23:56:45Z</dcterms:created>
  <dcterms:modified xsi:type="dcterms:W3CDTF">2023-07-12T19:00:00Z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  <property fmtid="{D5CDD505-2E9C-101B-9397-08002B2CF9AE}" pid="3" name="Order">
    <vt:r8>3457700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