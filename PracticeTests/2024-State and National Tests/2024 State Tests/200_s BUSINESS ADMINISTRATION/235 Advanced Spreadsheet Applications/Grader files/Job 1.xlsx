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e\Downloads\"/>
    </mc:Choice>
  </mc:AlternateContent>
  <xr:revisionPtr revIDLastSave="0" documentId="13_ncr:1_{09AD16D4-747E-4C4C-9B10-425DD818CCEE}" xr6:coauthVersionLast="47" xr6:coauthVersionMax="47" xr10:uidLastSave="{00000000-0000-0000-0000-000000000000}"/>
  <bookViews>
    <workbookView xWindow="-120" yWindow="-120" windowWidth="22920" windowHeight="15990" xr2:uid="{3EB68CEF-275C-4517-8161-1191A0891332}"/>
  </bookViews>
  <sheets>
    <sheet name="Sheet1" sheetId="1" r:id="rId1"/>
    <sheet name="Sheet2" sheetId="9" r:id="rId2"/>
  </sheets>
  <definedNames>
    <definedName name="ExternalData_1" localSheetId="1" hidden="1">Sheet2!$A$1:$C$35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G30" i="1" s="1"/>
  <c r="E31" i="1"/>
  <c r="G31" i="1" s="1"/>
  <c r="E32" i="1"/>
  <c r="G32" i="1" s="1"/>
  <c r="E33" i="1"/>
  <c r="G33" i="1" s="1"/>
  <c r="E34" i="1"/>
  <c r="G34" i="1" s="1"/>
  <c r="E35" i="1"/>
  <c r="G35" i="1" s="1"/>
  <c r="E36" i="1"/>
  <c r="G36" i="1" s="1"/>
  <c r="E37" i="1"/>
  <c r="G37" i="1" s="1"/>
  <c r="E38" i="1"/>
  <c r="G38" i="1" s="1"/>
  <c r="E39" i="1"/>
  <c r="G39" i="1" s="1"/>
  <c r="E40" i="1"/>
  <c r="G4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E62" i="1"/>
  <c r="G62" i="1" s="1"/>
  <c r="E63" i="1"/>
  <c r="G63" i="1" s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D4C744-B02C-4E30-B68C-1FE3CEC6A0D7}" keepAlive="1" name="Query - City-CountyData" description="Connection to the 'City-CountyData' query in the workbook." type="5" refreshedVersion="6" background="1" saveData="1">
    <dbPr connection="Provider=Microsoft.Mashup.OleDb.1;Data Source=$Workbook$;Location=City-CountyData;Extended Properties=&quot;&quot;" command="SELECT * FROM [City-CountyData]"/>
  </connection>
</connections>
</file>

<file path=xl/sharedStrings.xml><?xml version="1.0" encoding="utf-8"?>
<sst xmlns="http://schemas.openxmlformats.org/spreadsheetml/2006/main" count="213" uniqueCount="73">
  <si>
    <t>Current Property Listings</t>
  </si>
  <si>
    <t>Date</t>
  </si>
  <si>
    <t>Listing Price</t>
  </si>
  <si>
    <t>Property Location</t>
  </si>
  <si>
    <t>County</t>
  </si>
  <si>
    <t>Avg Home Price</t>
  </si>
  <si>
    <t xml:space="preserve">Sales Agent </t>
  </si>
  <si>
    <t>Price Compared to Avg Home Price</t>
  </si>
  <si>
    <t>Sioux Falls</t>
  </si>
  <si>
    <t>Boone</t>
  </si>
  <si>
    <t>Rapid City</t>
  </si>
  <si>
    <t>Nguyen</t>
  </si>
  <si>
    <t>Aberdeen</t>
  </si>
  <si>
    <t>Williams</t>
  </si>
  <si>
    <t>Yankton</t>
  </si>
  <si>
    <t>Crenshaw</t>
  </si>
  <si>
    <t>Mitchell</t>
  </si>
  <si>
    <t>Ogea</t>
  </si>
  <si>
    <t>Robinson</t>
  </si>
  <si>
    <t>Spearfish</t>
  </si>
  <si>
    <t>Box Elder</t>
  </si>
  <si>
    <t>Alvarez</t>
  </si>
  <si>
    <t>Vermillion</t>
  </si>
  <si>
    <t>Grady</t>
  </si>
  <si>
    <t>Rapid Valley</t>
  </si>
  <si>
    <t>Locklear</t>
  </si>
  <si>
    <t>Sturgis</t>
  </si>
  <si>
    <t>Harrisburg</t>
  </si>
  <si>
    <t>Belle Fourche</t>
  </si>
  <si>
    <t>Dakota Dunes</t>
  </si>
  <si>
    <t>Wu</t>
  </si>
  <si>
    <t>Milbank</t>
  </si>
  <si>
    <t>Ford</t>
  </si>
  <si>
    <t>Pine Ridge</t>
  </si>
  <si>
    <t>Lead</t>
  </si>
  <si>
    <t>Summerset</t>
  </si>
  <si>
    <t>Lennox</t>
  </si>
  <si>
    <t>Patel</t>
  </si>
  <si>
    <t>Smith</t>
  </si>
  <si>
    <t>Chamberlain</t>
  </si>
  <si>
    <t>Springfield</t>
  </si>
  <si>
    <t>Gettysburg</t>
  </si>
  <si>
    <t>Wagner</t>
  </si>
  <si>
    <t>Vermeer</t>
  </si>
  <si>
    <t>Garretson</t>
  </si>
  <si>
    <t>Porcupine</t>
  </si>
  <si>
    <t>Watertown</t>
  </si>
  <si>
    <t>Fall City</t>
  </si>
  <si>
    <t>Birmingham</t>
  </si>
  <si>
    <t>Mason</t>
  </si>
  <si>
    <t>Boardson</t>
  </si>
  <si>
    <t>Grafton</t>
  </si>
  <si>
    <t>Germantown</t>
  </si>
  <si>
    <t>Cedarburg</t>
  </si>
  <si>
    <t>Fountainville</t>
  </si>
  <si>
    <t>Dayton</t>
  </si>
  <si>
    <t>City</t>
  </si>
  <si>
    <t>Brown</t>
  </si>
  <si>
    <t>Butte</t>
  </si>
  <si>
    <t>Lincoln</t>
  </si>
  <si>
    <t>Bon Homme</t>
  </si>
  <si>
    <t>Pennington</t>
  </si>
  <si>
    <t>Brule</t>
  </si>
  <si>
    <t>Union</t>
  </si>
  <si>
    <t>Charles Mix</t>
  </si>
  <si>
    <t>Davison</t>
  </si>
  <si>
    <t>Minnehaha</t>
  </si>
  <si>
    <t>Lawrence</t>
  </si>
  <si>
    <t>Potter</t>
  </si>
  <si>
    <t>Clay</t>
  </si>
  <si>
    <t>Grant</t>
  </si>
  <si>
    <t>Oglala Lakota</t>
  </si>
  <si>
    <t>Meade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</si>
</sst>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[$-409]d\-mmm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0" applyNumberFormat="0" applyFill="0" applyBorder="0" applyAlignment="0" applyProtection="0"/>
    <xf numFmtId="0" fontId="4" fillId="0" borderId="0" applyFont="0" applyFill="0" applyBorder="0" applyAlignment="0" applyProtection="0">
      <alignment horizontal="center" wrapText="1"/>
    </xf>
  </cellStyleXfs>
  <cellXfs count="10">
    <xf numFmtId="0" fontId="0" fillId="0" borderId="0" xfId="0"/>
    <xf numFmtId="0" fontId="4" fillId="0" borderId="0" xfId="2" applyFont="1" applyFill="1" applyAlignment="1">
      <alignment wrapText="1"/>
    </xf>
    <xf numFmtId="0" fontId="3" fillId="0" borderId="0" xfId="0" applyFont="1" applyAlignment="1">
      <alignment horizontal="center"/>
    </xf>
    <xf numFmtId="0" fontId="4" fillId="0" borderId="0" xfId="2" applyFont="1" applyFill="1" applyAlignment="1">
      <alignment horizontal="center" wrapText="1"/>
    </xf>
    <xf numFmtId="164" fontId="0" fillId="0" borderId="0" xfId="0" applyNumberFormat="1"/>
    <xf numFmtId="0" fontId="6" fillId="0" borderId="0" xfId="4" applyFill="1"/>
    <xf numFmtId="41" fontId="0" fillId="0" borderId="0" xfId="1" applyNumberFormat="1" applyFont="1" applyFill="1"/>
    <xf numFmtId="41" fontId="0" fillId="0" borderId="0" xfId="0" applyNumberFormat="1"/>
    <xf numFmtId="0" fontId="5" fillId="0" borderId="0" xfId="3" applyBorder="1" applyAlignment="1">
      <alignment horizontal="center"/>
    </xf>
    <xf numFmtId="0" fontId="0" fillId="0" borderId="0" xfId="0" applyBorder="1"/>
  </cellXfs>
  <cellStyles count="6">
    <cellStyle name="Accent6" xfId="2" builtinId="49"/>
    <cellStyle name="Heading 1" xfId="3" builtinId="16"/>
    <cellStyle name="Hyperlink" xfId="4" builtinId="8"/>
    <cellStyle name="Normal" xfId="0" builtinId="0"/>
    <cellStyle name="Percent" xfId="1" builtinId="5"/>
    <cellStyle name="Style 1" xfId="5" xr:uid="{758099E4-3737-4722-A74E-89541E663423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[$-409]d\-mmm;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BE46CF-18E4-47E2-88E4-E457633A361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F975EA-A0CC-4382-9309-7AF44FD54683}" name="Table1" displayName="Table1" ref="A3:G70" totalsRowShown="0" headerRowDxfId="10" dataDxfId="9" headerRowCellStyle="Accent6">
  <autoFilter ref="A3:G70" xr:uid="{437F672F-E07A-4013-8CA2-135485D5DADB}"/>
  <sortState xmlns:xlrd2="http://schemas.microsoft.com/office/spreadsheetml/2017/richdata2" ref="A4:G70">
    <sortCondition ref="A4"/>
  </sortState>
  <tableColumns count="7">
    <tableColumn id="1" xr3:uid="{B47FF5F8-5DB8-46FF-BCE9-B2C94925E7FF}" name="Date" dataDxfId="8"/>
    <tableColumn id="2" xr3:uid="{40B5C8DC-884F-403B-AA58-C6187F2B8547}" name="Listing Price" dataDxfId="7"/>
    <tableColumn id="3" xr3:uid="{E84D3701-6B62-468C-BB96-EDCBD8FA27D8}" name="Property Location" dataDxfId="6"/>
    <tableColumn id="7" xr3:uid="{858F422A-659F-4E55-BA32-AD8D31870890}" name="County" dataDxfId="5">
      <calculatedColumnFormula>VLOOKUP(Table1[[#This Row],[Property Location]],City_CountyData[],2,0)</calculatedColumnFormula>
    </tableColumn>
    <tableColumn id="6" xr3:uid="{01F0740A-E1A4-46D7-8630-9DBF152F0BD7}" name="Avg Home Price" dataDxfId="4">
      <calculatedColumnFormula>VLOOKUP(Table1[[#This Row],[Property Location]],City_CountyData[],3,0)</calculatedColumnFormula>
    </tableColumn>
    <tableColumn id="4" xr3:uid="{1105C1DD-2DB7-4F4A-83A8-AF84B48DC659}" name="Sales Agent " dataDxfId="0"/>
    <tableColumn id="5" xr3:uid="{7FC516F5-F518-4FAE-8FD0-FC0EA5C0D4BF}" name="Price Compared to Avg Home Price" dataDxfId="3">
      <calculatedColumnFormula>Table1[[#This Row],[Listing Price]]-Table1[[#This Row],[Avg Home Price]]</calculatedColumnFormula>
    </tableColumn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D55BB90-6826-44EA-B963-39C677D3C9BC}" name="City_CountyData" displayName="City_CountyData" ref="A1:C35" tableType="queryTable" totalsRowShown="0">
  <autoFilter ref="A1:C35" xr:uid="{66A4A0F3-14D6-4437-BDE0-5E5BD3EAD8FD}"/>
  <tableColumns count="3">
    <tableColumn id="1" xr3:uid="{0741EFCD-F8A7-42D4-82EA-2FFA7C463C06}" uniqueName="1" name="City" queryTableFieldId="1" dataDxfId="2"/>
    <tableColumn id="2" xr3:uid="{1BB3C386-1862-49F4-9E44-6C95BE2DF6A0}" uniqueName="2" name="County" queryTableFieldId="2" dataDxfId="1"/>
    <tableColumn id="3" xr3:uid="{3E253D47-21E2-4B1D-8194-719210E4EA24}" uniqueName="3" name="Avg Home Pric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siouxfalls.org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siouxfalls.org/" TargetMode="External"/><Relationship Id="rId1" Type="http://schemas.openxmlformats.org/officeDocument/2006/relationships/hyperlink" Target="https://www.siouxfalls.org/" TargetMode="External"/><Relationship Id="rId6" Type="http://schemas.openxmlformats.org/officeDocument/2006/relationships/hyperlink" Target="https://www.siouxfalls.org/" TargetMode="External"/><Relationship Id="rId5" Type="http://schemas.openxmlformats.org/officeDocument/2006/relationships/hyperlink" Target="https://www.siouxfalls.org/" TargetMode="External"/><Relationship Id="rId4" Type="http://schemas.openxmlformats.org/officeDocument/2006/relationships/hyperlink" Target="https://www.siouxfalls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4B85-0AEA-4423-9733-F4EA546FF159}">
  <sheetPr>
    <pageSetUpPr fitToPage="1"/>
  </sheetPr>
  <dimension ref="A1:H147"/>
  <sheetViews>
    <sheetView tabSelected="1" workbookViewId="0">
      <selection sqref="A1:G1"/>
    </sheetView>
  </sheetViews>
  <sheetFormatPr defaultRowHeight="15" x14ac:dyDescent="0.25"/>
  <cols>
    <col min="1" max="1" width="9.140625" bestFit="1" customWidth="1"/>
    <col min="2" max="2" width="15.28515625" bestFit="1" customWidth="1"/>
    <col min="3" max="3" width="12.5703125" bestFit="1" customWidth="1"/>
    <col min="4" max="4" width="11.42578125" bestFit="1" customWidth="1"/>
    <col min="5" max="5" width="18.7109375" bestFit="1" customWidth="1"/>
    <col min="6" max="6" width="15" bestFit="1" customWidth="1"/>
    <col min="7" max="7" width="13.85546875" customWidth="1"/>
    <col min="8" max="8" width="15.140625" customWidth="1"/>
    <col min="10" max="10" width="11.7109375" bestFit="1" customWidth="1"/>
    <col min="11" max="11" width="11.42578125" bestFit="1" customWidth="1"/>
  </cols>
  <sheetData>
    <row r="1" spans="1:8" ht="19.5" x14ac:dyDescent="0.3">
      <c r="A1" s="8" t="s">
        <v>0</v>
      </c>
      <c r="B1" s="8"/>
      <c r="C1" s="8"/>
      <c r="D1" s="8"/>
      <c r="E1" s="8"/>
      <c r="F1" s="8"/>
      <c r="G1" s="8"/>
      <c r="H1" s="2"/>
    </row>
    <row r="3" spans="1:8" ht="63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1"/>
    </row>
    <row r="4" spans="1:8" x14ac:dyDescent="0.25">
      <c r="A4" s="4">
        <v>44934</v>
      </c>
      <c r="B4">
        <v>245000</v>
      </c>
      <c r="C4" s="5" t="s">
        <v>8</v>
      </c>
      <c r="D4" t="str">
        <f>VLOOKUP(Table1[[#This Row],[Property Location]],City_CountyData[],2,0)</f>
        <v>Minnehaha</v>
      </c>
      <c r="E4">
        <f>VLOOKUP(Table1[[#This Row],[Property Location]],City_CountyData[],3,0)</f>
        <v>388497</v>
      </c>
      <c r="F4" s="9" t="s">
        <v>9</v>
      </c>
      <c r="G4" s="7">
        <f>Table1[[#This Row],[Listing Price]]-Table1[[#This Row],[Avg Home Price]]</f>
        <v>-143497</v>
      </c>
    </row>
    <row r="5" spans="1:8" x14ac:dyDescent="0.25">
      <c r="A5" s="4">
        <v>44940</v>
      </c>
      <c r="B5">
        <v>385000</v>
      </c>
      <c r="C5" t="s">
        <v>10</v>
      </c>
      <c r="D5" t="str">
        <f>VLOOKUP(Table1[[#This Row],[Property Location]],City_CountyData[],2,0)</f>
        <v>Pennington</v>
      </c>
      <c r="E5">
        <f>VLOOKUP(Table1[[#This Row],[Property Location]],City_CountyData[],3,0)</f>
        <v>266875</v>
      </c>
      <c r="F5" s="9" t="s">
        <v>11</v>
      </c>
      <c r="G5" s="7">
        <f>Table1[[#This Row],[Listing Price]]-Table1[[#This Row],[Avg Home Price]]</f>
        <v>118125</v>
      </c>
    </row>
    <row r="6" spans="1:8" x14ac:dyDescent="0.25">
      <c r="A6" s="4">
        <v>44941</v>
      </c>
      <c r="B6">
        <v>299000</v>
      </c>
      <c r="C6" t="s">
        <v>12</v>
      </c>
      <c r="D6" t="str">
        <f>VLOOKUP(Table1[[#This Row],[Property Location]],City_CountyData[],2,0)</f>
        <v>Brown</v>
      </c>
      <c r="E6">
        <f>VLOOKUP(Table1[[#This Row],[Property Location]],City_CountyData[],3,0)</f>
        <v>235241</v>
      </c>
      <c r="F6" s="9" t="s">
        <v>13</v>
      </c>
      <c r="G6" s="6">
        <f>Table1[[#This Row],[Listing Price]]-Table1[[#This Row],[Avg Home Price]]</f>
        <v>63759</v>
      </c>
    </row>
    <row r="7" spans="1:8" x14ac:dyDescent="0.25">
      <c r="A7" s="4">
        <v>44945</v>
      </c>
      <c r="B7">
        <v>215000</v>
      </c>
      <c r="C7" t="s">
        <v>14</v>
      </c>
      <c r="D7" t="str">
        <f>VLOOKUP(Table1[[#This Row],[Property Location]],City_CountyData[],2,0)</f>
        <v>Yankton</v>
      </c>
      <c r="E7">
        <f>VLOOKUP(Table1[[#This Row],[Property Location]],City_CountyData[],3,0)</f>
        <v>256076</v>
      </c>
      <c r="F7" s="9" t="s">
        <v>15</v>
      </c>
      <c r="G7" s="7">
        <f>Table1[[#This Row],[Listing Price]]-Table1[[#This Row],[Avg Home Price]]</f>
        <v>-41076</v>
      </c>
    </row>
    <row r="8" spans="1:8" x14ac:dyDescent="0.25">
      <c r="A8" s="4">
        <v>44954</v>
      </c>
      <c r="B8">
        <v>287500</v>
      </c>
      <c r="C8" t="s">
        <v>16</v>
      </c>
      <c r="D8" t="str">
        <f>VLOOKUP(Table1[[#This Row],[Property Location]],City_CountyData[],2,0)</f>
        <v>Davison</v>
      </c>
      <c r="E8">
        <f>VLOOKUP(Table1[[#This Row],[Property Location]],City_CountyData[],3,0)</f>
        <v>506274</v>
      </c>
      <c r="F8" s="9" t="s">
        <v>17</v>
      </c>
      <c r="G8" s="6">
        <f>Table1[[#This Row],[Listing Price]]-Table1[[#This Row],[Avg Home Price]]</f>
        <v>-218774</v>
      </c>
    </row>
    <row r="9" spans="1:8" x14ac:dyDescent="0.25">
      <c r="A9" s="4">
        <v>44959</v>
      </c>
      <c r="B9">
        <v>550000</v>
      </c>
      <c r="C9" s="5" t="s">
        <v>8</v>
      </c>
      <c r="D9" t="str">
        <f>VLOOKUP(Table1[[#This Row],[Property Location]],City_CountyData[],2,0)</f>
        <v>Minnehaha</v>
      </c>
      <c r="E9">
        <f>VLOOKUP(Table1[[#This Row],[Property Location]],City_CountyData[],3,0)</f>
        <v>388497</v>
      </c>
      <c r="F9" s="9" t="s">
        <v>18</v>
      </c>
      <c r="G9" s="7">
        <f>Table1[[#This Row],[Listing Price]]-Table1[[#This Row],[Avg Home Price]]</f>
        <v>161503</v>
      </c>
    </row>
    <row r="10" spans="1:8" x14ac:dyDescent="0.25">
      <c r="A10" s="4">
        <v>44961</v>
      </c>
      <c r="B10">
        <v>350000</v>
      </c>
      <c r="C10" t="s">
        <v>19</v>
      </c>
      <c r="D10" t="str">
        <f>VLOOKUP(Table1[[#This Row],[Property Location]],City_CountyData[],2,0)</f>
        <v>Lawrence</v>
      </c>
      <c r="E10">
        <f>VLOOKUP(Table1[[#This Row],[Property Location]],City_CountyData[],3,0)</f>
        <v>197560</v>
      </c>
      <c r="F10" s="9" t="s">
        <v>9</v>
      </c>
      <c r="G10" s="6">
        <f>Table1[[#This Row],[Listing Price]]-Table1[[#This Row],[Avg Home Price]]</f>
        <v>152440</v>
      </c>
    </row>
    <row r="11" spans="1:8" x14ac:dyDescent="0.25">
      <c r="A11" s="4">
        <v>44966</v>
      </c>
      <c r="B11">
        <v>299900</v>
      </c>
      <c r="C11" t="s">
        <v>20</v>
      </c>
      <c r="D11" t="str">
        <f>VLOOKUP(Table1[[#This Row],[Property Location]],City_CountyData[],2,0)</f>
        <v>Pennington</v>
      </c>
      <c r="E11">
        <f>VLOOKUP(Table1[[#This Row],[Property Location]],City_CountyData[],3,0)</f>
        <v>266875</v>
      </c>
      <c r="F11" s="9" t="s">
        <v>21</v>
      </c>
      <c r="G11" s="7">
        <f>Table1[[#This Row],[Listing Price]]-Table1[[#This Row],[Avg Home Price]]</f>
        <v>33025</v>
      </c>
    </row>
    <row r="12" spans="1:8" x14ac:dyDescent="0.25">
      <c r="A12" s="4">
        <v>44969</v>
      </c>
      <c r="B12">
        <v>105000</v>
      </c>
      <c r="C12" t="s">
        <v>22</v>
      </c>
      <c r="D12" t="str">
        <f>VLOOKUP(Table1[[#This Row],[Property Location]],City_CountyData[],2,0)</f>
        <v>Clay</v>
      </c>
      <c r="E12">
        <f>VLOOKUP(Table1[[#This Row],[Property Location]],City_CountyData[],3,0)</f>
        <v>227418</v>
      </c>
      <c r="F12" s="9" t="s">
        <v>23</v>
      </c>
      <c r="G12" s="6">
        <f>Table1[[#This Row],[Listing Price]]-Table1[[#This Row],[Avg Home Price]]</f>
        <v>-122418</v>
      </c>
    </row>
    <row r="13" spans="1:8" x14ac:dyDescent="0.25">
      <c r="A13" s="4">
        <v>44972</v>
      </c>
      <c r="B13">
        <v>265000</v>
      </c>
      <c r="C13" t="s">
        <v>24</v>
      </c>
      <c r="D13" t="str">
        <f>VLOOKUP(Table1[[#This Row],[Property Location]],City_CountyData[],2,0)</f>
        <v>Pennington</v>
      </c>
      <c r="E13">
        <f>VLOOKUP(Table1[[#This Row],[Property Location]],City_CountyData[],3,0)</f>
        <v>266875</v>
      </c>
      <c r="F13" s="9" t="s">
        <v>25</v>
      </c>
      <c r="G13" s="7">
        <f>Table1[[#This Row],[Listing Price]]-Table1[[#This Row],[Avg Home Price]]</f>
        <v>-1875</v>
      </c>
    </row>
    <row r="14" spans="1:8" x14ac:dyDescent="0.25">
      <c r="A14" s="4">
        <v>44975</v>
      </c>
      <c r="B14">
        <v>364900</v>
      </c>
      <c r="C14" t="s">
        <v>26</v>
      </c>
      <c r="D14" t="str">
        <f>VLOOKUP(Table1[[#This Row],[Property Location]],City_CountyData[],2,0)</f>
        <v>Meade</v>
      </c>
      <c r="E14">
        <f>VLOOKUP(Table1[[#This Row],[Property Location]],City_CountyData[],3,0)</f>
        <v>368841</v>
      </c>
      <c r="F14" s="9" t="s">
        <v>18</v>
      </c>
      <c r="G14" s="7">
        <f>Table1[[#This Row],[Listing Price]]-Table1[[#This Row],[Avg Home Price]]</f>
        <v>-3941</v>
      </c>
    </row>
    <row r="15" spans="1:8" x14ac:dyDescent="0.25">
      <c r="A15" s="4">
        <v>44979</v>
      </c>
      <c r="B15">
        <v>190000</v>
      </c>
      <c r="C15" t="s">
        <v>27</v>
      </c>
      <c r="D15" t="str">
        <f>VLOOKUP(Table1[[#This Row],[Property Location]],City_CountyData[],2,0)</f>
        <v>Lincoln</v>
      </c>
      <c r="E15">
        <f>VLOOKUP(Table1[[#This Row],[Property Location]],City_CountyData[],3,0)</f>
        <v>298177</v>
      </c>
      <c r="F15" s="9" t="s">
        <v>21</v>
      </c>
      <c r="G15" s="7">
        <f>Table1[[#This Row],[Listing Price]]-Table1[[#This Row],[Avg Home Price]]</f>
        <v>-108177</v>
      </c>
    </row>
    <row r="16" spans="1:8" x14ac:dyDescent="0.25">
      <c r="A16" s="4">
        <v>44982</v>
      </c>
      <c r="B16">
        <v>379900</v>
      </c>
      <c r="C16" t="s">
        <v>28</v>
      </c>
      <c r="D16" t="str">
        <f>VLOOKUP(Table1[[#This Row],[Property Location]],City_CountyData[],2,0)</f>
        <v>Butte</v>
      </c>
      <c r="E16">
        <f>VLOOKUP(Table1[[#This Row],[Property Location]],City_CountyData[],3,0)</f>
        <v>179453</v>
      </c>
      <c r="F16" s="9" t="s">
        <v>21</v>
      </c>
      <c r="G16" s="6">
        <f>Table1[[#This Row],[Listing Price]]-Table1[[#This Row],[Avg Home Price]]</f>
        <v>200447</v>
      </c>
    </row>
    <row r="17" spans="1:7" x14ac:dyDescent="0.25">
      <c r="A17" s="4">
        <v>44986</v>
      </c>
      <c r="B17">
        <v>149900</v>
      </c>
      <c r="C17" t="s">
        <v>29</v>
      </c>
      <c r="D17" t="str">
        <f>VLOOKUP(Table1[[#This Row],[Property Location]],City_CountyData[],2,0)</f>
        <v>Union</v>
      </c>
      <c r="E17">
        <f>VLOOKUP(Table1[[#This Row],[Property Location]],City_CountyData[],3,0)</f>
        <v>339197</v>
      </c>
      <c r="F17" s="9" t="s">
        <v>30</v>
      </c>
      <c r="G17" s="7">
        <f>Table1[[#This Row],[Listing Price]]-Table1[[#This Row],[Avg Home Price]]</f>
        <v>-189297</v>
      </c>
    </row>
    <row r="18" spans="1:7" x14ac:dyDescent="0.25">
      <c r="A18" s="4">
        <v>44988</v>
      </c>
      <c r="B18">
        <v>230000</v>
      </c>
      <c r="C18" t="s">
        <v>31</v>
      </c>
      <c r="D18" t="str">
        <f>VLOOKUP(Table1[[#This Row],[Property Location]],City_CountyData[],2,0)</f>
        <v>Grant</v>
      </c>
      <c r="E18">
        <f>VLOOKUP(Table1[[#This Row],[Property Location]],City_CountyData[],3,0)</f>
        <v>207661</v>
      </c>
      <c r="F18" s="9" t="s">
        <v>32</v>
      </c>
      <c r="G18" s="6">
        <f>Table1[[#This Row],[Listing Price]]-Table1[[#This Row],[Avg Home Price]]</f>
        <v>22339</v>
      </c>
    </row>
    <row r="19" spans="1:7" x14ac:dyDescent="0.25">
      <c r="A19" s="4">
        <v>44991</v>
      </c>
      <c r="B19">
        <v>63900</v>
      </c>
      <c r="C19" t="s">
        <v>33</v>
      </c>
      <c r="D19" t="str">
        <f>VLOOKUP(Table1[[#This Row],[Property Location]],City_CountyData[],2,0)</f>
        <v>Oglala Lakota</v>
      </c>
      <c r="E19">
        <f>VLOOKUP(Table1[[#This Row],[Property Location]],City_CountyData[],3,0)</f>
        <v>201748</v>
      </c>
      <c r="F19" s="9" t="s">
        <v>25</v>
      </c>
      <c r="G19" s="7">
        <f>Table1[[#This Row],[Listing Price]]-Table1[[#This Row],[Avg Home Price]]</f>
        <v>-137848</v>
      </c>
    </row>
    <row r="20" spans="1:7" x14ac:dyDescent="0.25">
      <c r="A20" s="4">
        <v>44996</v>
      </c>
      <c r="B20">
        <v>265000</v>
      </c>
      <c r="C20" t="s">
        <v>34</v>
      </c>
      <c r="D20" t="str">
        <f>VLOOKUP(Table1[[#This Row],[Property Location]],City_CountyData[],2,0)</f>
        <v>Lawrence</v>
      </c>
      <c r="E20">
        <f>VLOOKUP(Table1[[#This Row],[Property Location]],City_CountyData[],3,0)</f>
        <v>197560</v>
      </c>
      <c r="F20" s="9" t="s">
        <v>9</v>
      </c>
      <c r="G20" s="6">
        <f>Table1[[#This Row],[Listing Price]]-Table1[[#This Row],[Avg Home Price]]</f>
        <v>67440</v>
      </c>
    </row>
    <row r="21" spans="1:7" x14ac:dyDescent="0.25">
      <c r="A21" s="4">
        <v>44997</v>
      </c>
      <c r="B21">
        <v>289900</v>
      </c>
      <c r="C21" t="s">
        <v>35</v>
      </c>
      <c r="D21" t="str">
        <f>VLOOKUP(Table1[[#This Row],[Property Location]],City_CountyData[],2,0)</f>
        <v>Lincoln</v>
      </c>
      <c r="E21">
        <f>VLOOKUP(Table1[[#This Row],[Property Location]],City_CountyData[],3,0)</f>
        <v>298177</v>
      </c>
      <c r="F21" s="9" t="s">
        <v>15</v>
      </c>
      <c r="G21" s="7">
        <f>Table1[[#This Row],[Listing Price]]-Table1[[#This Row],[Avg Home Price]]</f>
        <v>-8277</v>
      </c>
    </row>
    <row r="22" spans="1:7" x14ac:dyDescent="0.25">
      <c r="A22" s="4">
        <v>44999</v>
      </c>
      <c r="B22">
        <v>1475000</v>
      </c>
      <c r="C22" t="s">
        <v>36</v>
      </c>
      <c r="D22" t="str">
        <f>VLOOKUP(Table1[[#This Row],[Property Location]],City_CountyData[],2,0)</f>
        <v>Lincoln</v>
      </c>
      <c r="E22">
        <f>VLOOKUP(Table1[[#This Row],[Property Location]],City_CountyData[],3,0)</f>
        <v>298177</v>
      </c>
      <c r="F22" s="9" t="s">
        <v>30</v>
      </c>
      <c r="G22" s="7">
        <f>Table1[[#This Row],[Listing Price]]-Table1[[#This Row],[Avg Home Price]]</f>
        <v>1176823</v>
      </c>
    </row>
    <row r="23" spans="1:7" x14ac:dyDescent="0.25">
      <c r="A23" s="4">
        <v>45002</v>
      </c>
      <c r="B23">
        <v>420000</v>
      </c>
      <c r="C23" t="s">
        <v>12</v>
      </c>
      <c r="D23" t="str">
        <f>VLOOKUP(Table1[[#This Row],[Property Location]],City_CountyData[],2,0)</f>
        <v>Brown</v>
      </c>
      <c r="E23">
        <f>VLOOKUP(Table1[[#This Row],[Property Location]],City_CountyData[],3,0)</f>
        <v>235241</v>
      </c>
      <c r="F23" s="9" t="s">
        <v>37</v>
      </c>
      <c r="G23" s="6">
        <f>Table1[[#This Row],[Listing Price]]-Table1[[#This Row],[Avg Home Price]]</f>
        <v>184759</v>
      </c>
    </row>
    <row r="24" spans="1:7" x14ac:dyDescent="0.25">
      <c r="A24" s="4">
        <v>45004</v>
      </c>
      <c r="B24">
        <v>280000</v>
      </c>
      <c r="C24" t="s">
        <v>16</v>
      </c>
      <c r="D24" t="str">
        <f>VLOOKUP(Table1[[#This Row],[Property Location]],City_CountyData[],2,0)</f>
        <v>Davison</v>
      </c>
      <c r="E24">
        <f>VLOOKUP(Table1[[#This Row],[Property Location]],City_CountyData[],3,0)</f>
        <v>506274</v>
      </c>
      <c r="F24" s="9" t="s">
        <v>21</v>
      </c>
      <c r="G24" s="6">
        <f>Table1[[#This Row],[Listing Price]]-Table1[[#This Row],[Avg Home Price]]</f>
        <v>-226274</v>
      </c>
    </row>
    <row r="25" spans="1:7" x14ac:dyDescent="0.25">
      <c r="A25" s="4">
        <v>45008</v>
      </c>
      <c r="B25">
        <v>275000</v>
      </c>
      <c r="C25" t="s">
        <v>10</v>
      </c>
      <c r="D25" t="str">
        <f>VLOOKUP(Table1[[#This Row],[Property Location]],City_CountyData[],2,0)</f>
        <v>Pennington</v>
      </c>
      <c r="E25">
        <f>VLOOKUP(Table1[[#This Row],[Property Location]],City_CountyData[],3,0)</f>
        <v>266875</v>
      </c>
      <c r="F25" s="9" t="s">
        <v>38</v>
      </c>
      <c r="G25" s="7">
        <f>Table1[[#This Row],[Listing Price]]-Table1[[#This Row],[Avg Home Price]]</f>
        <v>8125</v>
      </c>
    </row>
    <row r="26" spans="1:7" x14ac:dyDescent="0.25">
      <c r="A26" s="4">
        <v>45010</v>
      </c>
      <c r="B26">
        <v>387000</v>
      </c>
      <c r="C26" t="s">
        <v>39</v>
      </c>
      <c r="D26" t="str">
        <f>VLOOKUP(Table1[[#This Row],[Property Location]],City_CountyData[],2,0)</f>
        <v>Brule</v>
      </c>
      <c r="E26">
        <f>VLOOKUP(Table1[[#This Row],[Property Location]],City_CountyData[],3,0)</f>
        <v>278201</v>
      </c>
      <c r="F26" s="9" t="s">
        <v>32</v>
      </c>
      <c r="G26" s="6">
        <f>Table1[[#This Row],[Listing Price]]-Table1[[#This Row],[Avg Home Price]]</f>
        <v>108799</v>
      </c>
    </row>
    <row r="27" spans="1:7" x14ac:dyDescent="0.25">
      <c r="A27" s="4">
        <v>45013</v>
      </c>
      <c r="B27">
        <v>235000</v>
      </c>
      <c r="C27" t="s">
        <v>40</v>
      </c>
      <c r="D27" t="str">
        <f>VLOOKUP(Table1[[#This Row],[Property Location]],City_CountyData[],2,0)</f>
        <v>Bon Homme</v>
      </c>
      <c r="E27">
        <f>VLOOKUP(Table1[[#This Row],[Property Location]],City_CountyData[],3,0)</f>
        <v>323188</v>
      </c>
      <c r="F27" s="9" t="s">
        <v>9</v>
      </c>
      <c r="G27" s="6">
        <f>Table1[[#This Row],[Listing Price]]-Table1[[#This Row],[Avg Home Price]]</f>
        <v>-88188</v>
      </c>
    </row>
    <row r="28" spans="1:7" x14ac:dyDescent="0.25">
      <c r="A28" s="4">
        <v>45016</v>
      </c>
      <c r="B28">
        <v>635000</v>
      </c>
      <c r="C28" t="s">
        <v>41</v>
      </c>
      <c r="D28" t="str">
        <f>VLOOKUP(Table1[[#This Row],[Property Location]],City_CountyData[],2,0)</f>
        <v>Potter</v>
      </c>
      <c r="E28">
        <f>VLOOKUP(Table1[[#This Row],[Property Location]],City_CountyData[],3,0)</f>
        <v>249762</v>
      </c>
      <c r="F28" s="9" t="s">
        <v>11</v>
      </c>
      <c r="G28" s="7">
        <f>Table1[[#This Row],[Listing Price]]-Table1[[#This Row],[Avg Home Price]]</f>
        <v>385238</v>
      </c>
    </row>
    <row r="29" spans="1:7" x14ac:dyDescent="0.25">
      <c r="A29" s="4">
        <v>45023</v>
      </c>
      <c r="B29">
        <v>104900</v>
      </c>
      <c r="C29" t="s">
        <v>42</v>
      </c>
      <c r="D29" t="str">
        <f>VLOOKUP(Table1[[#This Row],[Property Location]],City_CountyData[],2,0)</f>
        <v>Charles Mix</v>
      </c>
      <c r="E29">
        <f>VLOOKUP(Table1[[#This Row],[Property Location]],City_CountyData[],3,0)</f>
        <v>188622</v>
      </c>
      <c r="F29" s="9" t="s">
        <v>43</v>
      </c>
      <c r="G29" s="6">
        <f>Table1[[#This Row],[Listing Price]]-Table1[[#This Row],[Avg Home Price]]</f>
        <v>-83722</v>
      </c>
    </row>
    <row r="30" spans="1:7" x14ac:dyDescent="0.25">
      <c r="A30" s="4">
        <v>45025</v>
      </c>
      <c r="B30">
        <v>229900</v>
      </c>
      <c r="C30" s="5" t="s">
        <v>8</v>
      </c>
      <c r="D30" t="str">
        <f>VLOOKUP(Table1[[#This Row],[Property Location]],City_CountyData[],2,0)</f>
        <v>Minnehaha</v>
      </c>
      <c r="E30">
        <f>VLOOKUP(Table1[[#This Row],[Property Location]],City_CountyData[],3,0)</f>
        <v>388497</v>
      </c>
      <c r="F30" s="9" t="s">
        <v>32</v>
      </c>
      <c r="G30" s="7">
        <f>Table1[[#This Row],[Listing Price]]-Table1[[#This Row],[Avg Home Price]]</f>
        <v>-158597</v>
      </c>
    </row>
    <row r="31" spans="1:7" x14ac:dyDescent="0.25">
      <c r="A31" s="4">
        <v>45026</v>
      </c>
      <c r="B31">
        <v>159500</v>
      </c>
      <c r="C31" t="s">
        <v>44</v>
      </c>
      <c r="D31" t="str">
        <f>VLOOKUP(Table1[[#This Row],[Property Location]],City_CountyData[],2,0)</f>
        <v>Minnehaha</v>
      </c>
      <c r="E31">
        <f>VLOOKUP(Table1[[#This Row],[Property Location]],City_CountyData[],3,0)</f>
        <v>388497</v>
      </c>
      <c r="F31" s="9" t="s">
        <v>21</v>
      </c>
      <c r="G31" s="7">
        <f>Table1[[#This Row],[Listing Price]]-Table1[[#This Row],[Avg Home Price]]</f>
        <v>-228997</v>
      </c>
    </row>
    <row r="32" spans="1:7" x14ac:dyDescent="0.25">
      <c r="A32" s="4">
        <v>45034</v>
      </c>
      <c r="B32">
        <v>439000</v>
      </c>
      <c r="C32" t="s">
        <v>45</v>
      </c>
      <c r="D32" t="str">
        <f>VLOOKUP(Table1[[#This Row],[Property Location]],City_CountyData[],2,0)</f>
        <v>Oglala Lakota</v>
      </c>
      <c r="E32">
        <f>VLOOKUP(Table1[[#This Row],[Property Location]],City_CountyData[],3,0)</f>
        <v>201748</v>
      </c>
      <c r="F32" s="9" t="s">
        <v>11</v>
      </c>
      <c r="G32" s="7">
        <f>Table1[[#This Row],[Listing Price]]-Table1[[#This Row],[Avg Home Price]]</f>
        <v>237252</v>
      </c>
    </row>
    <row r="33" spans="1:7" x14ac:dyDescent="0.25">
      <c r="A33" s="4">
        <v>45036</v>
      </c>
      <c r="B33">
        <v>330000</v>
      </c>
      <c r="C33" s="5" t="s">
        <v>8</v>
      </c>
      <c r="D33" t="str">
        <f>VLOOKUP(Table1[[#This Row],[Property Location]],City_CountyData[],2,0)</f>
        <v>Minnehaha</v>
      </c>
      <c r="E33">
        <f>VLOOKUP(Table1[[#This Row],[Property Location]],City_CountyData[],3,0)</f>
        <v>388497</v>
      </c>
      <c r="F33" s="9" t="s">
        <v>23</v>
      </c>
      <c r="G33" s="7">
        <f>Table1[[#This Row],[Listing Price]]-Table1[[#This Row],[Avg Home Price]]</f>
        <v>-58497</v>
      </c>
    </row>
    <row r="34" spans="1:7" x14ac:dyDescent="0.25">
      <c r="A34" s="4">
        <v>45042</v>
      </c>
      <c r="B34">
        <v>635000</v>
      </c>
      <c r="C34" t="s">
        <v>10</v>
      </c>
      <c r="D34" t="str">
        <f>VLOOKUP(Table1[[#This Row],[Property Location]],City_CountyData[],2,0)</f>
        <v>Pennington</v>
      </c>
      <c r="E34">
        <f>VLOOKUP(Table1[[#This Row],[Property Location]],City_CountyData[],3,0)</f>
        <v>266875</v>
      </c>
      <c r="F34" s="9" t="s">
        <v>9</v>
      </c>
      <c r="G34" s="7">
        <f>Table1[[#This Row],[Listing Price]]-Table1[[#This Row],[Avg Home Price]]</f>
        <v>368125</v>
      </c>
    </row>
    <row r="35" spans="1:7" x14ac:dyDescent="0.25">
      <c r="A35" s="4">
        <v>45045</v>
      </c>
      <c r="B35">
        <v>297000</v>
      </c>
      <c r="C35" s="5" t="s">
        <v>8</v>
      </c>
      <c r="D35" t="str">
        <f>VLOOKUP(Table1[[#This Row],[Property Location]],City_CountyData[],2,0)</f>
        <v>Minnehaha</v>
      </c>
      <c r="E35">
        <f>VLOOKUP(Table1[[#This Row],[Property Location]],City_CountyData[],3,0)</f>
        <v>388497</v>
      </c>
      <c r="F35" s="9" t="s">
        <v>15</v>
      </c>
      <c r="G35" s="7">
        <f>Table1[[#This Row],[Listing Price]]-Table1[[#This Row],[Avg Home Price]]</f>
        <v>-91497</v>
      </c>
    </row>
    <row r="36" spans="1:7" x14ac:dyDescent="0.25">
      <c r="A36" s="4">
        <v>45046</v>
      </c>
      <c r="B36">
        <v>144000</v>
      </c>
      <c r="C36" t="s">
        <v>10</v>
      </c>
      <c r="D36" t="str">
        <f>VLOOKUP(Table1[[#This Row],[Property Location]],City_CountyData[],2,0)</f>
        <v>Pennington</v>
      </c>
      <c r="E36">
        <f>VLOOKUP(Table1[[#This Row],[Property Location]],City_CountyData[],3,0)</f>
        <v>266875</v>
      </c>
      <c r="F36" s="9" t="s">
        <v>17</v>
      </c>
      <c r="G36" s="7">
        <f>Table1[[#This Row],[Listing Price]]-Table1[[#This Row],[Avg Home Price]]</f>
        <v>-122875</v>
      </c>
    </row>
    <row r="37" spans="1:7" x14ac:dyDescent="0.25">
      <c r="A37" s="4">
        <v>45057</v>
      </c>
      <c r="B37">
        <v>129400</v>
      </c>
      <c r="C37" t="s">
        <v>12</v>
      </c>
      <c r="D37" t="str">
        <f>VLOOKUP(Table1[[#This Row],[Property Location]],City_CountyData[],2,0)</f>
        <v>Brown</v>
      </c>
      <c r="E37">
        <f>VLOOKUP(Table1[[#This Row],[Property Location]],City_CountyData[],3,0)</f>
        <v>235241</v>
      </c>
      <c r="F37" s="9" t="s">
        <v>18</v>
      </c>
      <c r="G37" s="6">
        <f>Table1[[#This Row],[Listing Price]]-Table1[[#This Row],[Avg Home Price]]</f>
        <v>-105841</v>
      </c>
    </row>
    <row r="38" spans="1:7" x14ac:dyDescent="0.25">
      <c r="A38" s="4">
        <v>45062</v>
      </c>
      <c r="B38">
        <v>357000</v>
      </c>
      <c r="C38" t="s">
        <v>14</v>
      </c>
      <c r="D38" t="str">
        <f>VLOOKUP(Table1[[#This Row],[Property Location]],City_CountyData[],2,0)</f>
        <v>Yankton</v>
      </c>
      <c r="E38">
        <f>VLOOKUP(Table1[[#This Row],[Property Location]],City_CountyData[],3,0)</f>
        <v>256076</v>
      </c>
      <c r="F38" s="9" t="s">
        <v>9</v>
      </c>
      <c r="G38" s="7">
        <f>Table1[[#This Row],[Listing Price]]-Table1[[#This Row],[Avg Home Price]]</f>
        <v>100924</v>
      </c>
    </row>
    <row r="39" spans="1:7" x14ac:dyDescent="0.25">
      <c r="A39" s="4">
        <v>45067</v>
      </c>
      <c r="B39">
        <v>590000</v>
      </c>
      <c r="C39" t="s">
        <v>16</v>
      </c>
      <c r="D39" t="str">
        <f>VLOOKUP(Table1[[#This Row],[Property Location]],City_CountyData[],2,0)</f>
        <v>Davison</v>
      </c>
      <c r="E39">
        <f>VLOOKUP(Table1[[#This Row],[Property Location]],City_CountyData[],3,0)</f>
        <v>506274</v>
      </c>
      <c r="F39" s="9" t="s">
        <v>21</v>
      </c>
      <c r="G39" s="6">
        <f>Table1[[#This Row],[Listing Price]]-Table1[[#This Row],[Avg Home Price]]</f>
        <v>83726</v>
      </c>
    </row>
    <row r="40" spans="1:7" x14ac:dyDescent="0.25">
      <c r="A40" s="4">
        <v>45071</v>
      </c>
      <c r="B40">
        <v>440000</v>
      </c>
      <c r="C40" s="5" t="s">
        <v>8</v>
      </c>
      <c r="D40" t="str">
        <f>VLOOKUP(Table1[[#This Row],[Property Location]],City_CountyData[],2,0)</f>
        <v>Minnehaha</v>
      </c>
      <c r="E40">
        <f>VLOOKUP(Table1[[#This Row],[Property Location]],City_CountyData[],3,0)</f>
        <v>388497</v>
      </c>
      <c r="F40" s="9" t="s">
        <v>23</v>
      </c>
      <c r="G40" s="7">
        <f>Table1[[#This Row],[Listing Price]]-Table1[[#This Row],[Avg Home Price]]</f>
        <v>51503</v>
      </c>
    </row>
    <row r="41" spans="1:7" x14ac:dyDescent="0.25">
      <c r="A41" s="4">
        <v>45085</v>
      </c>
      <c r="B41">
        <v>261000</v>
      </c>
      <c r="C41" t="s">
        <v>19</v>
      </c>
      <c r="D41" t="str">
        <f>VLOOKUP(Table1[[#This Row],[Property Location]],City_CountyData[],2,0)</f>
        <v>Lawrence</v>
      </c>
      <c r="E41">
        <f>VLOOKUP(Table1[[#This Row],[Property Location]],City_CountyData[],3,0)</f>
        <v>197560</v>
      </c>
      <c r="F41" s="9" t="s">
        <v>25</v>
      </c>
      <c r="G41" s="7">
        <f>Table1[[#This Row],[Listing Price]]-Table1[[#This Row],[Avg Home Price]]</f>
        <v>63440</v>
      </c>
    </row>
    <row r="42" spans="1:7" x14ac:dyDescent="0.25">
      <c r="A42" s="4">
        <v>45086</v>
      </c>
      <c r="B42">
        <v>74900</v>
      </c>
      <c r="C42" t="s">
        <v>20</v>
      </c>
      <c r="D42" t="str">
        <f>VLOOKUP(Table1[[#This Row],[Property Location]],City_CountyData[],2,0)</f>
        <v>Pennington</v>
      </c>
      <c r="E42">
        <f>VLOOKUP(Table1[[#This Row],[Property Location]],City_CountyData[],3,0)</f>
        <v>266875</v>
      </c>
      <c r="F42" s="9" t="s">
        <v>18</v>
      </c>
      <c r="G42" s="7">
        <f>Table1[[#This Row],[Listing Price]]-Table1[[#This Row],[Avg Home Price]]</f>
        <v>-191975</v>
      </c>
    </row>
    <row r="43" spans="1:7" x14ac:dyDescent="0.25">
      <c r="A43" s="4">
        <v>45092</v>
      </c>
      <c r="B43">
        <v>112800</v>
      </c>
      <c r="C43" t="s">
        <v>31</v>
      </c>
      <c r="D43" t="str">
        <f>VLOOKUP(Table1[[#This Row],[Property Location]],City_CountyData[],2,0)</f>
        <v>Grant</v>
      </c>
      <c r="E43">
        <f>VLOOKUP(Table1[[#This Row],[Property Location]],City_CountyData[],3,0)</f>
        <v>207661</v>
      </c>
      <c r="F43" s="9" t="s">
        <v>21</v>
      </c>
      <c r="G43" s="6">
        <f>Table1[[#This Row],[Listing Price]]-Table1[[#This Row],[Avg Home Price]]</f>
        <v>-94861</v>
      </c>
    </row>
    <row r="44" spans="1:7" x14ac:dyDescent="0.25">
      <c r="A44" s="4">
        <v>45104</v>
      </c>
      <c r="B44">
        <v>284000</v>
      </c>
      <c r="C44" t="s">
        <v>33</v>
      </c>
      <c r="D44" t="str">
        <f>VLOOKUP(Table1[[#This Row],[Property Location]],City_CountyData[],2,0)</f>
        <v>Oglala Lakota</v>
      </c>
      <c r="E44">
        <f>VLOOKUP(Table1[[#This Row],[Property Location]],City_CountyData[],3,0)</f>
        <v>201748</v>
      </c>
      <c r="F44" s="9" t="s">
        <v>21</v>
      </c>
      <c r="G44" s="7">
        <f>Table1[[#This Row],[Listing Price]]-Table1[[#This Row],[Avg Home Price]]</f>
        <v>82252</v>
      </c>
    </row>
    <row r="45" spans="1:7" x14ac:dyDescent="0.25">
      <c r="A45" s="4">
        <v>45118</v>
      </c>
      <c r="B45">
        <v>269000</v>
      </c>
      <c r="C45" t="s">
        <v>34</v>
      </c>
      <c r="D45" t="str">
        <f>VLOOKUP(Table1[[#This Row],[Property Location]],City_CountyData[],2,0)</f>
        <v>Lawrence</v>
      </c>
      <c r="E45">
        <f>VLOOKUP(Table1[[#This Row],[Property Location]],City_CountyData[],3,0)</f>
        <v>197560</v>
      </c>
      <c r="F45" s="9" t="s">
        <v>30</v>
      </c>
      <c r="G45" s="6">
        <f>Table1[[#This Row],[Listing Price]]-Table1[[#This Row],[Avg Home Price]]</f>
        <v>71440</v>
      </c>
    </row>
    <row r="46" spans="1:7" x14ac:dyDescent="0.25">
      <c r="A46" s="4">
        <v>45121</v>
      </c>
      <c r="B46">
        <v>799900</v>
      </c>
      <c r="C46" t="s">
        <v>35</v>
      </c>
      <c r="D46" t="str">
        <f>VLOOKUP(Table1[[#This Row],[Property Location]],City_CountyData[],2,0)</f>
        <v>Lincoln</v>
      </c>
      <c r="E46">
        <f>VLOOKUP(Table1[[#This Row],[Property Location]],City_CountyData[],3,0)</f>
        <v>298177</v>
      </c>
      <c r="F46" s="9" t="s">
        <v>32</v>
      </c>
      <c r="G46" s="7">
        <f>Table1[[#This Row],[Listing Price]]-Table1[[#This Row],[Avg Home Price]]</f>
        <v>501723</v>
      </c>
    </row>
    <row r="47" spans="1:7" x14ac:dyDescent="0.25">
      <c r="A47" s="4">
        <v>45122</v>
      </c>
      <c r="B47">
        <v>346000</v>
      </c>
      <c r="C47" t="s">
        <v>36</v>
      </c>
      <c r="D47" t="str">
        <f>VLOOKUP(Table1[[#This Row],[Property Location]],City_CountyData[],2,0)</f>
        <v>Lincoln</v>
      </c>
      <c r="E47">
        <f>VLOOKUP(Table1[[#This Row],[Property Location]],City_CountyData[],3,0)</f>
        <v>298177</v>
      </c>
      <c r="F47" s="9" t="s">
        <v>25</v>
      </c>
      <c r="G47" s="7">
        <f>Table1[[#This Row],[Listing Price]]-Table1[[#This Row],[Avg Home Price]]</f>
        <v>47823</v>
      </c>
    </row>
    <row r="48" spans="1:7" x14ac:dyDescent="0.25">
      <c r="A48" s="4">
        <v>45128</v>
      </c>
      <c r="B48">
        <v>239900</v>
      </c>
      <c r="C48" t="s">
        <v>12</v>
      </c>
      <c r="D48" t="str">
        <f>VLOOKUP(Table1[[#This Row],[Property Location]],City_CountyData[],2,0)</f>
        <v>Brown</v>
      </c>
      <c r="E48">
        <f>VLOOKUP(Table1[[#This Row],[Property Location]],City_CountyData[],3,0)</f>
        <v>235241</v>
      </c>
      <c r="F48" s="9" t="s">
        <v>9</v>
      </c>
      <c r="G48" s="6">
        <f>Table1[[#This Row],[Listing Price]]-Table1[[#This Row],[Avg Home Price]]</f>
        <v>4659</v>
      </c>
    </row>
    <row r="49" spans="1:7" x14ac:dyDescent="0.25">
      <c r="A49" s="4">
        <v>45130</v>
      </c>
      <c r="B49">
        <v>118000</v>
      </c>
      <c r="C49" t="s">
        <v>16</v>
      </c>
      <c r="D49" t="str">
        <f>VLOOKUP(Table1[[#This Row],[Property Location]],City_CountyData[],2,0)</f>
        <v>Davison</v>
      </c>
      <c r="E49">
        <f>VLOOKUP(Table1[[#This Row],[Property Location]],City_CountyData[],3,0)</f>
        <v>506274</v>
      </c>
      <c r="F49" s="9" t="s">
        <v>15</v>
      </c>
      <c r="G49" s="6">
        <f>Table1[[#This Row],[Listing Price]]-Table1[[#This Row],[Avg Home Price]]</f>
        <v>-388274</v>
      </c>
    </row>
    <row r="50" spans="1:7" x14ac:dyDescent="0.25">
      <c r="A50" s="4">
        <v>45150</v>
      </c>
      <c r="B50">
        <v>599000</v>
      </c>
      <c r="C50" t="s">
        <v>10</v>
      </c>
      <c r="D50" t="str">
        <f>VLOOKUP(Table1[[#This Row],[Property Location]],City_CountyData[],2,0)</f>
        <v>Pennington</v>
      </c>
      <c r="E50">
        <f>VLOOKUP(Table1[[#This Row],[Property Location]],City_CountyData[],3,0)</f>
        <v>266875</v>
      </c>
      <c r="F50" s="9" t="s">
        <v>30</v>
      </c>
      <c r="G50" s="7">
        <f>Table1[[#This Row],[Listing Price]]-Table1[[#This Row],[Avg Home Price]]</f>
        <v>332125</v>
      </c>
    </row>
    <row r="51" spans="1:7" x14ac:dyDescent="0.25">
      <c r="A51" s="4">
        <v>45156</v>
      </c>
      <c r="B51">
        <v>298000</v>
      </c>
      <c r="C51" t="s">
        <v>46</v>
      </c>
      <c r="D51" t="str">
        <f>VLOOKUP(Table1[[#This Row],[Property Location]],City_CountyData[],2,0)</f>
        <v>Davison</v>
      </c>
      <c r="E51">
        <f>VLOOKUP(Table1[[#This Row],[Property Location]],City_CountyData[],3,0)</f>
        <v>506274</v>
      </c>
      <c r="F51" s="9" t="s">
        <v>37</v>
      </c>
      <c r="G51" s="6">
        <f>Table1[[#This Row],[Listing Price]]-Table1[[#This Row],[Avg Home Price]]</f>
        <v>-208274</v>
      </c>
    </row>
    <row r="52" spans="1:7" x14ac:dyDescent="0.25">
      <c r="A52" s="4">
        <v>45162</v>
      </c>
      <c r="B52">
        <v>269000</v>
      </c>
      <c r="C52" t="s">
        <v>42</v>
      </c>
      <c r="D52" t="str">
        <f>VLOOKUP(Table1[[#This Row],[Property Location]],City_CountyData[],2,0)</f>
        <v>Charles Mix</v>
      </c>
      <c r="E52">
        <f>VLOOKUP(Table1[[#This Row],[Property Location]],City_CountyData[],3,0)</f>
        <v>188622</v>
      </c>
      <c r="F52" s="9" t="s">
        <v>21</v>
      </c>
      <c r="G52" s="6">
        <f>Table1[[#This Row],[Listing Price]]-Table1[[#This Row],[Avg Home Price]]</f>
        <v>80378</v>
      </c>
    </row>
    <row r="53" spans="1:7" x14ac:dyDescent="0.25">
      <c r="A53" s="4">
        <v>45169</v>
      </c>
      <c r="B53">
        <v>46900</v>
      </c>
      <c r="C53" t="s">
        <v>47</v>
      </c>
      <c r="D53" t="str">
        <f>VLOOKUP(Table1[[#This Row],[Property Location]],City_CountyData[],2,0)</f>
        <v>Charles Mix</v>
      </c>
      <c r="E53">
        <f>VLOOKUP(Table1[[#This Row],[Property Location]],City_CountyData[],3,0)</f>
        <v>188622</v>
      </c>
      <c r="F53" s="9" t="s">
        <v>43</v>
      </c>
      <c r="G53" s="6">
        <f>Table1[[#This Row],[Listing Price]]-Table1[[#This Row],[Avg Home Price]]</f>
        <v>-141722</v>
      </c>
    </row>
    <row r="54" spans="1:7" x14ac:dyDescent="0.25">
      <c r="A54" s="4">
        <v>45172</v>
      </c>
      <c r="B54">
        <v>578000</v>
      </c>
      <c r="C54" t="s">
        <v>48</v>
      </c>
      <c r="D54" t="str">
        <f>VLOOKUP(Table1[[#This Row],[Property Location]],City_CountyData[],2,0)</f>
        <v>Lincoln</v>
      </c>
      <c r="E54">
        <f>VLOOKUP(Table1[[#This Row],[Property Location]],City_CountyData[],3,0)</f>
        <v>298177</v>
      </c>
      <c r="F54" s="9" t="s">
        <v>32</v>
      </c>
      <c r="G54" s="7">
        <f>Table1[[#This Row],[Listing Price]]-Table1[[#This Row],[Avg Home Price]]</f>
        <v>279823</v>
      </c>
    </row>
    <row r="55" spans="1:7" x14ac:dyDescent="0.25">
      <c r="A55" s="4">
        <v>45178</v>
      </c>
      <c r="B55">
        <v>498000</v>
      </c>
      <c r="C55" t="s">
        <v>12</v>
      </c>
      <c r="D55" t="str">
        <f>VLOOKUP(Table1[[#This Row],[Property Location]],City_CountyData[],2,0)</f>
        <v>Brown</v>
      </c>
      <c r="E55">
        <f>VLOOKUP(Table1[[#This Row],[Property Location]],City_CountyData[],3,0)</f>
        <v>235241</v>
      </c>
      <c r="F55" s="9" t="s">
        <v>21</v>
      </c>
      <c r="G55" s="6">
        <f>Table1[[#This Row],[Listing Price]]-Table1[[#This Row],[Avg Home Price]]</f>
        <v>262759</v>
      </c>
    </row>
    <row r="56" spans="1:7" x14ac:dyDescent="0.25">
      <c r="A56" s="4">
        <v>45186</v>
      </c>
      <c r="B56">
        <v>89900</v>
      </c>
      <c r="C56" t="s">
        <v>49</v>
      </c>
      <c r="D56" t="str">
        <f>VLOOKUP(Table1[[#This Row],[Property Location]],City_CountyData[],2,0)</f>
        <v>Clay</v>
      </c>
      <c r="E56">
        <f>VLOOKUP(Table1[[#This Row],[Property Location]],City_CountyData[],3,0)</f>
        <v>227418</v>
      </c>
      <c r="F56" s="9" t="s">
        <v>11</v>
      </c>
      <c r="G56" s="6">
        <f>Table1[[#This Row],[Listing Price]]-Table1[[#This Row],[Avg Home Price]]</f>
        <v>-137518</v>
      </c>
    </row>
    <row r="57" spans="1:7" x14ac:dyDescent="0.25">
      <c r="A57" s="4">
        <v>45189</v>
      </c>
      <c r="B57">
        <v>69900</v>
      </c>
      <c r="C57" t="s">
        <v>50</v>
      </c>
      <c r="D57" t="str">
        <f>VLOOKUP(Table1[[#This Row],[Property Location]],City_CountyData[],2,0)</f>
        <v>Bon Homme</v>
      </c>
      <c r="E57">
        <f>VLOOKUP(Table1[[#This Row],[Property Location]],City_CountyData[],3,0)</f>
        <v>323188</v>
      </c>
      <c r="F57" s="9" t="s">
        <v>23</v>
      </c>
      <c r="G57" s="6">
        <f>Table1[[#This Row],[Listing Price]]-Table1[[#This Row],[Avg Home Price]]</f>
        <v>-253288</v>
      </c>
    </row>
    <row r="58" spans="1:7" x14ac:dyDescent="0.25">
      <c r="A58" s="4">
        <v>45196</v>
      </c>
      <c r="B58">
        <v>249500</v>
      </c>
      <c r="C58" t="s">
        <v>49</v>
      </c>
      <c r="D58" t="str">
        <f>VLOOKUP(Table1[[#This Row],[Property Location]],City_CountyData[],2,0)</f>
        <v>Clay</v>
      </c>
      <c r="E58">
        <f>VLOOKUP(Table1[[#This Row],[Property Location]],City_CountyData[],3,0)</f>
        <v>227418</v>
      </c>
      <c r="F58" s="9" t="s">
        <v>9</v>
      </c>
      <c r="G58" s="6">
        <f>Table1[[#This Row],[Listing Price]]-Table1[[#This Row],[Avg Home Price]]</f>
        <v>22082</v>
      </c>
    </row>
    <row r="59" spans="1:7" x14ac:dyDescent="0.25">
      <c r="A59" s="4">
        <v>45199</v>
      </c>
      <c r="B59">
        <v>378400</v>
      </c>
      <c r="C59" t="s">
        <v>35</v>
      </c>
      <c r="D59" t="str">
        <f>VLOOKUP(Table1[[#This Row],[Property Location]],City_CountyData[],2,0)</f>
        <v>Lincoln</v>
      </c>
      <c r="E59">
        <f>VLOOKUP(Table1[[#This Row],[Property Location]],City_CountyData[],3,0)</f>
        <v>298177</v>
      </c>
      <c r="F59" s="9" t="s">
        <v>15</v>
      </c>
      <c r="G59" s="7">
        <f>Table1[[#This Row],[Listing Price]]-Table1[[#This Row],[Avg Home Price]]</f>
        <v>80223</v>
      </c>
    </row>
    <row r="60" spans="1:7" x14ac:dyDescent="0.25">
      <c r="A60" s="4">
        <v>45203</v>
      </c>
      <c r="B60">
        <v>450000</v>
      </c>
      <c r="C60" t="s">
        <v>36</v>
      </c>
      <c r="D60" t="str">
        <f>VLOOKUP(Table1[[#This Row],[Property Location]],City_CountyData[],2,0)</f>
        <v>Lincoln</v>
      </c>
      <c r="E60">
        <f>VLOOKUP(Table1[[#This Row],[Property Location]],City_CountyData[],3,0)</f>
        <v>298177</v>
      </c>
      <c r="F60" s="9" t="s">
        <v>17</v>
      </c>
      <c r="G60" s="7">
        <f>Table1[[#This Row],[Listing Price]]-Table1[[#This Row],[Avg Home Price]]</f>
        <v>151823</v>
      </c>
    </row>
    <row r="61" spans="1:7" x14ac:dyDescent="0.25">
      <c r="A61" s="4">
        <v>45209</v>
      </c>
      <c r="B61">
        <v>395000</v>
      </c>
      <c r="C61" t="s">
        <v>33</v>
      </c>
      <c r="D61" t="str">
        <f>VLOOKUP(Table1[[#This Row],[Property Location]],City_CountyData[],2,0)</f>
        <v>Oglala Lakota</v>
      </c>
      <c r="E61">
        <f>VLOOKUP(Table1[[#This Row],[Property Location]],City_CountyData[],3,0)</f>
        <v>201748</v>
      </c>
      <c r="F61" s="9" t="s">
        <v>18</v>
      </c>
      <c r="G61" s="7">
        <f>Table1[[#This Row],[Listing Price]]-Table1[[#This Row],[Avg Home Price]]</f>
        <v>193252</v>
      </c>
    </row>
    <row r="62" spans="1:7" x14ac:dyDescent="0.25">
      <c r="A62" s="4">
        <v>45218</v>
      </c>
      <c r="B62">
        <v>179000</v>
      </c>
      <c r="C62" t="s">
        <v>31</v>
      </c>
      <c r="D62" t="str">
        <f>VLOOKUP(Table1[[#This Row],[Property Location]],City_CountyData[],2,0)</f>
        <v>Grant</v>
      </c>
      <c r="E62">
        <f>VLOOKUP(Table1[[#This Row],[Property Location]],City_CountyData[],3,0)</f>
        <v>207661</v>
      </c>
      <c r="F62" s="9" t="s">
        <v>9</v>
      </c>
      <c r="G62" s="6">
        <f>Table1[[#This Row],[Listing Price]]-Table1[[#This Row],[Avg Home Price]]</f>
        <v>-28661</v>
      </c>
    </row>
    <row r="63" spans="1:7" x14ac:dyDescent="0.25">
      <c r="A63" s="4">
        <v>45227</v>
      </c>
      <c r="B63">
        <v>467000</v>
      </c>
      <c r="C63" t="s">
        <v>39</v>
      </c>
      <c r="D63" t="str">
        <f>VLOOKUP(Table1[[#This Row],[Property Location]],City_CountyData[],2,0)</f>
        <v>Brule</v>
      </c>
      <c r="E63">
        <f>VLOOKUP(Table1[[#This Row],[Property Location]],City_CountyData[],3,0)</f>
        <v>278201</v>
      </c>
      <c r="F63" s="9" t="s">
        <v>23</v>
      </c>
      <c r="G63" s="6">
        <f>Table1[[#This Row],[Listing Price]]-Table1[[#This Row],[Avg Home Price]]</f>
        <v>188799</v>
      </c>
    </row>
    <row r="64" spans="1:7" x14ac:dyDescent="0.25">
      <c r="A64" s="4">
        <v>45242</v>
      </c>
      <c r="B64">
        <v>432000</v>
      </c>
      <c r="C64" t="s">
        <v>51</v>
      </c>
      <c r="D64" t="str">
        <f>VLOOKUP(Table1[[#This Row],[Property Location]],City_CountyData[],2,0)</f>
        <v>Minnehaha</v>
      </c>
      <c r="E64">
        <f>VLOOKUP(Table1[[#This Row],[Property Location]],City_CountyData[],3,0)</f>
        <v>388497</v>
      </c>
      <c r="F64" s="9" t="s">
        <v>18</v>
      </c>
      <c r="G64" s="7">
        <f>Table1[[#This Row],[Listing Price]]-Table1[[#This Row],[Avg Home Price]]</f>
        <v>43503</v>
      </c>
    </row>
    <row r="65" spans="1:7" x14ac:dyDescent="0.25">
      <c r="A65" s="4">
        <v>45249</v>
      </c>
      <c r="B65">
        <v>173000</v>
      </c>
      <c r="C65" t="s">
        <v>52</v>
      </c>
      <c r="D65" t="str">
        <f>VLOOKUP(Table1[[#This Row],[Property Location]],City_CountyData[],2,0)</f>
        <v>Lawrence</v>
      </c>
      <c r="E65">
        <f>VLOOKUP(Table1[[#This Row],[Property Location]],City_CountyData[],3,0)</f>
        <v>197560</v>
      </c>
      <c r="F65" s="9" t="s">
        <v>25</v>
      </c>
      <c r="G65" s="6">
        <f>Table1[[#This Row],[Listing Price]]-Table1[[#This Row],[Avg Home Price]]</f>
        <v>-24560</v>
      </c>
    </row>
    <row r="66" spans="1:7" x14ac:dyDescent="0.25">
      <c r="A66" s="4">
        <v>45260</v>
      </c>
      <c r="B66">
        <v>526900</v>
      </c>
      <c r="C66" t="s">
        <v>53</v>
      </c>
      <c r="D66" t="str">
        <f>VLOOKUP(Table1[[#This Row],[Property Location]],City_CountyData[],2,0)</f>
        <v>Butte</v>
      </c>
      <c r="E66">
        <f>VLOOKUP(Table1[[#This Row],[Property Location]],City_CountyData[],3,0)</f>
        <v>179453</v>
      </c>
      <c r="F66" s="9" t="s">
        <v>15</v>
      </c>
      <c r="G66" s="6">
        <f>Table1[[#This Row],[Listing Price]]-Table1[[#This Row],[Avg Home Price]]</f>
        <v>347447</v>
      </c>
    </row>
    <row r="67" spans="1:7" x14ac:dyDescent="0.25">
      <c r="A67" s="4">
        <v>45261</v>
      </c>
      <c r="B67">
        <v>314000</v>
      </c>
      <c r="C67" t="s">
        <v>54</v>
      </c>
      <c r="D67" t="str">
        <f>VLOOKUP(Table1[[#This Row],[Property Location]],City_CountyData[],2,0)</f>
        <v>Davison</v>
      </c>
      <c r="E67">
        <f>VLOOKUP(Table1[[#This Row],[Property Location]],City_CountyData[],3,0)</f>
        <v>506274</v>
      </c>
      <c r="F67" s="9" t="s">
        <v>30</v>
      </c>
      <c r="G67" s="6">
        <f>Table1[[#This Row],[Listing Price]]-Table1[[#This Row],[Avg Home Price]]</f>
        <v>-192274</v>
      </c>
    </row>
    <row r="68" spans="1:7" x14ac:dyDescent="0.25">
      <c r="A68" s="4">
        <v>45267</v>
      </c>
      <c r="B68">
        <v>207000</v>
      </c>
      <c r="C68" t="s">
        <v>55</v>
      </c>
      <c r="D68" t="str">
        <f>VLOOKUP(Table1[[#This Row],[Property Location]],City_CountyData[],2,0)</f>
        <v>Union</v>
      </c>
      <c r="E68">
        <f>VLOOKUP(Table1[[#This Row],[Property Location]],City_CountyData[],3,0)</f>
        <v>339197</v>
      </c>
      <c r="F68" s="9" t="s">
        <v>37</v>
      </c>
      <c r="G68" s="7">
        <f>Table1[[#This Row],[Listing Price]]-Table1[[#This Row],[Avg Home Price]]</f>
        <v>-132197</v>
      </c>
    </row>
    <row r="69" spans="1:7" x14ac:dyDescent="0.25">
      <c r="A69" s="4">
        <v>45281</v>
      </c>
      <c r="B69">
        <v>141900</v>
      </c>
      <c r="C69" t="s">
        <v>34</v>
      </c>
      <c r="D69" t="str">
        <f>VLOOKUP(Table1[[#This Row],[Property Location]],City_CountyData[],2,0)</f>
        <v>Lawrence</v>
      </c>
      <c r="E69">
        <f>VLOOKUP(Table1[[#This Row],[Property Location]],City_CountyData[],3,0)</f>
        <v>197560</v>
      </c>
      <c r="F69" s="9" t="s">
        <v>11</v>
      </c>
      <c r="G69" s="6">
        <f>Table1[[#This Row],[Listing Price]]-Table1[[#This Row],[Avg Home Price]]</f>
        <v>-55660</v>
      </c>
    </row>
    <row r="70" spans="1:7" x14ac:dyDescent="0.25">
      <c r="A70" s="4">
        <v>45288</v>
      </c>
      <c r="B70">
        <v>245000</v>
      </c>
      <c r="C70" t="s">
        <v>10</v>
      </c>
      <c r="D70" t="str">
        <f>VLOOKUP(Table1[[#This Row],[Property Location]],City_CountyData[],2,0)</f>
        <v>Pennington</v>
      </c>
      <c r="E70">
        <f>VLOOKUP(Table1[[#This Row],[Property Location]],City_CountyData[],3,0)</f>
        <v>266875</v>
      </c>
      <c r="F70" s="9" t="s">
        <v>23</v>
      </c>
      <c r="G70" s="7">
        <f>Table1[[#This Row],[Listing Price]]-Table1[[#This Row],[Avg Home Price]]</f>
        <v>-21875</v>
      </c>
    </row>
    <row r="71" spans="1:7" x14ac:dyDescent="0.25">
      <c r="F71" s="9"/>
    </row>
    <row r="72" spans="1:7" x14ac:dyDescent="0.25">
      <c r="F72" s="9"/>
    </row>
    <row r="73" spans="1:7" x14ac:dyDescent="0.25">
      <c r="F73" s="9"/>
    </row>
    <row r="74" spans="1:7" x14ac:dyDescent="0.25">
      <c r="F74" s="9"/>
    </row>
    <row r="75" spans="1:7" x14ac:dyDescent="0.25">
      <c r="F75" s="9"/>
    </row>
    <row r="76" spans="1:7" x14ac:dyDescent="0.25">
      <c r="F76" s="9"/>
    </row>
    <row r="77" spans="1:7" x14ac:dyDescent="0.25">
      <c r="F77" s="9"/>
    </row>
    <row r="78" spans="1:7" x14ac:dyDescent="0.25">
      <c r="F78" s="9"/>
    </row>
    <row r="79" spans="1:7" x14ac:dyDescent="0.25">
      <c r="F79" s="9"/>
    </row>
    <row r="80" spans="1:7" x14ac:dyDescent="0.25">
      <c r="F80" s="9"/>
    </row>
    <row r="81" spans="6:6" x14ac:dyDescent="0.25">
      <c r="F81" s="9"/>
    </row>
    <row r="82" spans="6:6" x14ac:dyDescent="0.25">
      <c r="F82" s="9"/>
    </row>
    <row r="83" spans="6:6" x14ac:dyDescent="0.25">
      <c r="F83" s="9"/>
    </row>
    <row r="84" spans="6:6" x14ac:dyDescent="0.25">
      <c r="F84" s="9"/>
    </row>
    <row r="85" spans="6:6" x14ac:dyDescent="0.25">
      <c r="F85" s="9"/>
    </row>
    <row r="86" spans="6:6" x14ac:dyDescent="0.25">
      <c r="F86" s="9"/>
    </row>
    <row r="87" spans="6:6" x14ac:dyDescent="0.25">
      <c r="F87" s="9"/>
    </row>
    <row r="88" spans="6:6" x14ac:dyDescent="0.25">
      <c r="F88" s="9"/>
    </row>
    <row r="89" spans="6:6" x14ac:dyDescent="0.25">
      <c r="F89" s="9"/>
    </row>
    <row r="90" spans="6:6" x14ac:dyDescent="0.25">
      <c r="F90" s="9"/>
    </row>
    <row r="91" spans="6:6" x14ac:dyDescent="0.25">
      <c r="F91" s="9"/>
    </row>
    <row r="92" spans="6:6" x14ac:dyDescent="0.25">
      <c r="F92" s="9"/>
    </row>
    <row r="93" spans="6:6" x14ac:dyDescent="0.25">
      <c r="F93" s="9"/>
    </row>
    <row r="94" spans="6:6" x14ac:dyDescent="0.25">
      <c r="F94" s="9"/>
    </row>
    <row r="95" spans="6:6" x14ac:dyDescent="0.25">
      <c r="F95" s="9"/>
    </row>
    <row r="96" spans="6:6" x14ac:dyDescent="0.25">
      <c r="F96" s="9"/>
    </row>
    <row r="97" spans="6:6" x14ac:dyDescent="0.25">
      <c r="F97" s="9"/>
    </row>
    <row r="98" spans="6:6" x14ac:dyDescent="0.25">
      <c r="F98" s="9"/>
    </row>
    <row r="99" spans="6:6" x14ac:dyDescent="0.25">
      <c r="F99" s="9"/>
    </row>
    <row r="100" spans="6:6" x14ac:dyDescent="0.25">
      <c r="F100" s="9"/>
    </row>
    <row r="101" spans="6:6" x14ac:dyDescent="0.25">
      <c r="F101" s="9"/>
    </row>
    <row r="102" spans="6:6" x14ac:dyDescent="0.25">
      <c r="F102" s="9"/>
    </row>
    <row r="103" spans="6:6" x14ac:dyDescent="0.25">
      <c r="F103" s="9"/>
    </row>
    <row r="104" spans="6:6" x14ac:dyDescent="0.25">
      <c r="F104" s="9"/>
    </row>
    <row r="105" spans="6:6" x14ac:dyDescent="0.25">
      <c r="F105" s="9"/>
    </row>
    <row r="106" spans="6:6" x14ac:dyDescent="0.25">
      <c r="F106" s="9"/>
    </row>
    <row r="107" spans="6:6" x14ac:dyDescent="0.25">
      <c r="F107" s="9"/>
    </row>
    <row r="108" spans="6:6" x14ac:dyDescent="0.25">
      <c r="F108" s="9"/>
    </row>
    <row r="109" spans="6:6" x14ac:dyDescent="0.25">
      <c r="F109" s="9"/>
    </row>
    <row r="110" spans="6:6" x14ac:dyDescent="0.25">
      <c r="F110" s="9"/>
    </row>
    <row r="111" spans="6:6" x14ac:dyDescent="0.25">
      <c r="F111" s="9"/>
    </row>
    <row r="112" spans="6:6" x14ac:dyDescent="0.25">
      <c r="F112" s="9"/>
    </row>
    <row r="113" spans="6:6" x14ac:dyDescent="0.25">
      <c r="F113" s="9"/>
    </row>
    <row r="114" spans="6:6" x14ac:dyDescent="0.25">
      <c r="F114" s="9"/>
    </row>
    <row r="115" spans="6:6" x14ac:dyDescent="0.25">
      <c r="F115" s="9"/>
    </row>
    <row r="116" spans="6:6" x14ac:dyDescent="0.25">
      <c r="F116" s="9"/>
    </row>
    <row r="117" spans="6:6" x14ac:dyDescent="0.25">
      <c r="F117" s="9"/>
    </row>
    <row r="118" spans="6:6" x14ac:dyDescent="0.25">
      <c r="F118" s="9"/>
    </row>
    <row r="119" spans="6:6" x14ac:dyDescent="0.25">
      <c r="F119" s="9"/>
    </row>
    <row r="120" spans="6:6" x14ac:dyDescent="0.25">
      <c r="F120" s="9"/>
    </row>
    <row r="121" spans="6:6" x14ac:dyDescent="0.25">
      <c r="F121" s="9"/>
    </row>
    <row r="122" spans="6:6" x14ac:dyDescent="0.25">
      <c r="F122" s="9"/>
    </row>
    <row r="123" spans="6:6" x14ac:dyDescent="0.25">
      <c r="F123" s="9"/>
    </row>
    <row r="124" spans="6:6" x14ac:dyDescent="0.25">
      <c r="F124" s="9"/>
    </row>
    <row r="125" spans="6:6" x14ac:dyDescent="0.25">
      <c r="F125" s="9"/>
    </row>
    <row r="126" spans="6:6" x14ac:dyDescent="0.25">
      <c r="F126" s="9"/>
    </row>
    <row r="127" spans="6:6" x14ac:dyDescent="0.25">
      <c r="F127" s="9"/>
    </row>
    <row r="128" spans="6:6" x14ac:dyDescent="0.25">
      <c r="F128" s="9"/>
    </row>
    <row r="129" spans="6:6" x14ac:dyDescent="0.25">
      <c r="F129" s="9"/>
    </row>
    <row r="130" spans="6:6" x14ac:dyDescent="0.25">
      <c r="F130" s="9"/>
    </row>
    <row r="131" spans="6:6" x14ac:dyDescent="0.25">
      <c r="F131" s="9"/>
    </row>
    <row r="132" spans="6:6" x14ac:dyDescent="0.25">
      <c r="F132" s="9"/>
    </row>
    <row r="133" spans="6:6" x14ac:dyDescent="0.25">
      <c r="F133" s="9"/>
    </row>
    <row r="134" spans="6:6" x14ac:dyDescent="0.25">
      <c r="F134" s="9"/>
    </row>
    <row r="135" spans="6:6" x14ac:dyDescent="0.25">
      <c r="F135" s="9"/>
    </row>
    <row r="136" spans="6:6" x14ac:dyDescent="0.25">
      <c r="F136" s="9"/>
    </row>
    <row r="137" spans="6:6" x14ac:dyDescent="0.25">
      <c r="F137" s="9"/>
    </row>
    <row r="138" spans="6:6" x14ac:dyDescent="0.25">
      <c r="F138" s="9"/>
    </row>
    <row r="139" spans="6:6" x14ac:dyDescent="0.25">
      <c r="F139" s="9"/>
    </row>
    <row r="140" spans="6:6" x14ac:dyDescent="0.25">
      <c r="F140" s="9"/>
    </row>
    <row r="141" spans="6:6" x14ac:dyDescent="0.25">
      <c r="F141" s="9"/>
    </row>
    <row r="142" spans="6:6" x14ac:dyDescent="0.25">
      <c r="F142" s="9"/>
    </row>
    <row r="143" spans="6:6" x14ac:dyDescent="0.25">
      <c r="F143" s="9"/>
    </row>
    <row r="144" spans="6:6" x14ac:dyDescent="0.25">
      <c r="F144" s="9"/>
    </row>
    <row r="145" spans="6:6" x14ac:dyDescent="0.25">
      <c r="F145" s="9"/>
    </row>
    <row r="146" spans="6:6" x14ac:dyDescent="0.25">
      <c r="F146" s="9"/>
    </row>
    <row r="147" spans="6:6" x14ac:dyDescent="0.25">
      <c r="F147" s="9"/>
    </row>
  </sheetData>
  <sortState xmlns:xlrd2="http://schemas.microsoft.com/office/spreadsheetml/2017/richdata2" ref="A4:H34">
    <sortCondition ref="A4"/>
  </sortState>
  <mergeCells count="1">
    <mergeCell ref="A1:G1"/>
  </mergeCells>
  <hyperlinks>
    <hyperlink ref="C4" r:id="rId1" xr:uid="{DEB6BDB0-C0BD-4B7C-AC55-37737235985C}"/>
    <hyperlink ref="C9" r:id="rId2" xr:uid="{80F935FA-4478-4A24-9BBB-57211DD4CF82}"/>
    <hyperlink ref="C33" r:id="rId3" xr:uid="{A0240332-FC45-40A3-B2A2-8179A27D7988}"/>
    <hyperlink ref="C35" r:id="rId4" xr:uid="{4D17DCD9-7708-4A62-A5FE-2BAF84AEF19A}"/>
    <hyperlink ref="C40" r:id="rId5" xr:uid="{4DE7ACA2-CDB5-47EF-B157-86EBC09D494C}"/>
    <hyperlink ref="C30" r:id="rId6" xr:uid="{5E7A27DB-BB11-404C-8ECC-C9B81C1125DA}"/>
  </hyperlinks>
  <pageMargins left="0.7" right="0.7" top="0.75" bottom="0.75" header="0.3" footer="0.3"/>
  <pageSetup scale="95" fitToHeight="0" orientation="portrait" horizontalDpi="4294967293" verticalDpi="4294967293" r:id="rId7"/>
  <tableParts count="1">
    <tablePart r:id="rId8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123900B-3F0D-442A-8B12-5908DA91EB00}">
            <x14:iconSet iconSet="3Arrows" custom="1">
              <x14:cfvo type="percent">
                <xm:f>0</xm:f>
              </x14:cfvo>
              <x14:cfvo type="percent">
                <xm:f>0</xm:f>
              </x14:cfvo>
              <x14:cfvo type="num">
                <xm:f>0</xm:f>
              </x14:cfvo>
              <x14:cfIcon iconSet="NoIcons" iconId="0"/>
              <x14:cfIcon iconSet="NoIcons" iconId="0"/>
              <x14:cfIcon iconSet="3Arrows" iconId="2"/>
            </x14:iconSet>
          </x14:cfRule>
          <xm:sqref>G4:G70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8ADE-4ED9-4AC7-A990-1F791F5CB1DF}">
  <dimension ref="A1:C35"/>
  <sheetViews>
    <sheetView workbookViewId="0">
      <selection activeCell="C15" sqref="C15"/>
    </sheetView>
  </sheetViews>
  <sheetFormatPr defaultRowHeight="15" x14ac:dyDescent="0.25"/>
  <cols>
    <col min="1" max="1" width="11.7109375" bestFit="1" customWidth="1"/>
    <col min="2" max="2" width="11.42578125" bestFit="1" customWidth="1"/>
    <col min="3" max="3" width="15.7109375" bestFit="1" customWidth="1"/>
  </cols>
  <sheetData>
    <row r="1" spans="1:3" x14ac:dyDescent="0.25">
      <c r="A1" t="s">
        <v>56</v>
      </c>
      <c r="B1" t="s">
        <v>4</v>
      </c>
      <c r="C1" t="s">
        <v>5</v>
      </c>
    </row>
    <row r="2" spans="1:3" x14ac:dyDescent="0.25">
      <c r="A2" t="s">
        <v>12</v>
      </c>
      <c r="B2" t="s">
        <v>57</v>
      </c>
      <c r="C2">
        <v>235241</v>
      </c>
    </row>
    <row r="3" spans="1:3" x14ac:dyDescent="0.25">
      <c r="A3" t="s">
        <v>28</v>
      </c>
      <c r="B3" t="s">
        <v>58</v>
      </c>
      <c r="C3">
        <v>179453</v>
      </c>
    </row>
    <row r="4" spans="1:3" x14ac:dyDescent="0.25">
      <c r="A4" t="s">
        <v>48</v>
      </c>
      <c r="B4" t="s">
        <v>59</v>
      </c>
      <c r="C4">
        <v>298177</v>
      </c>
    </row>
    <row r="5" spans="1:3" x14ac:dyDescent="0.25">
      <c r="A5" t="s">
        <v>50</v>
      </c>
      <c r="B5" t="s">
        <v>60</v>
      </c>
      <c r="C5">
        <v>323188</v>
      </c>
    </row>
    <row r="6" spans="1:3" x14ac:dyDescent="0.25">
      <c r="A6" t="s">
        <v>20</v>
      </c>
      <c r="B6" t="s">
        <v>61</v>
      </c>
      <c r="C6">
        <v>266875</v>
      </c>
    </row>
    <row r="7" spans="1:3" x14ac:dyDescent="0.25">
      <c r="A7" t="s">
        <v>53</v>
      </c>
      <c r="B7" t="s">
        <v>58</v>
      </c>
      <c r="C7">
        <v>179453</v>
      </c>
    </row>
    <row r="8" spans="1:3" x14ac:dyDescent="0.25">
      <c r="A8" t="s">
        <v>39</v>
      </c>
      <c r="B8" t="s">
        <v>62</v>
      </c>
      <c r="C8">
        <v>278201</v>
      </c>
    </row>
    <row r="9" spans="1:3" x14ac:dyDescent="0.25">
      <c r="A9" t="s">
        <v>29</v>
      </c>
      <c r="B9" t="s">
        <v>63</v>
      </c>
      <c r="C9">
        <v>339197</v>
      </c>
    </row>
    <row r="10" spans="1:3" x14ac:dyDescent="0.25">
      <c r="A10" t="s">
        <v>55</v>
      </c>
      <c r="B10" t="s">
        <v>63</v>
      </c>
      <c r="C10">
        <v>339197</v>
      </c>
    </row>
    <row r="11" spans="1:3" x14ac:dyDescent="0.25">
      <c r="A11" t="s">
        <v>47</v>
      </c>
      <c r="B11" t="s">
        <v>64</v>
      </c>
      <c r="C11">
        <v>188622</v>
      </c>
    </row>
    <row r="12" spans="1:3" x14ac:dyDescent="0.25">
      <c r="A12" t="s">
        <v>54</v>
      </c>
      <c r="B12" t="s">
        <v>65</v>
      </c>
      <c r="C12">
        <v>506274</v>
      </c>
    </row>
    <row r="13" spans="1:3" x14ac:dyDescent="0.25">
      <c r="A13" t="s">
        <v>44</v>
      </c>
      <c r="B13" t="s">
        <v>66</v>
      </c>
      <c r="C13">
        <v>388497</v>
      </c>
    </row>
    <row r="14" spans="1:3" x14ac:dyDescent="0.25">
      <c r="A14" t="s">
        <v>52</v>
      </c>
      <c r="B14" t="s">
        <v>67</v>
      </c>
      <c r="C14">
        <v>197560</v>
      </c>
    </row>
    <row r="15" spans="1:3" x14ac:dyDescent="0.25">
      <c r="A15" t="s">
        <v>41</v>
      </c>
      <c r="B15" t="s">
        <v>68</v>
      </c>
      <c r="C15">
        <v>249762</v>
      </c>
    </row>
    <row r="16" spans="1:3" x14ac:dyDescent="0.25">
      <c r="A16" t="s">
        <v>51</v>
      </c>
      <c r="B16" t="s">
        <v>66</v>
      </c>
      <c r="C16">
        <v>388497</v>
      </c>
    </row>
    <row r="17" spans="1:3" x14ac:dyDescent="0.25">
      <c r="A17" t="s">
        <v>27</v>
      </c>
      <c r="B17" t="s">
        <v>59</v>
      </c>
      <c r="C17">
        <v>298177</v>
      </c>
    </row>
    <row r="18" spans="1:3" x14ac:dyDescent="0.25">
      <c r="A18" t="s">
        <v>34</v>
      </c>
      <c r="B18" t="s">
        <v>67</v>
      </c>
      <c r="C18">
        <v>197560</v>
      </c>
    </row>
    <row r="19" spans="1:3" x14ac:dyDescent="0.25">
      <c r="A19" t="s">
        <v>36</v>
      </c>
      <c r="B19" t="s">
        <v>59</v>
      </c>
      <c r="C19">
        <v>298177</v>
      </c>
    </row>
    <row r="20" spans="1:3" x14ac:dyDescent="0.25">
      <c r="A20" t="s">
        <v>49</v>
      </c>
      <c r="B20" t="s">
        <v>69</v>
      </c>
      <c r="C20">
        <v>227418</v>
      </c>
    </row>
    <row r="21" spans="1:3" x14ac:dyDescent="0.25">
      <c r="A21" t="s">
        <v>31</v>
      </c>
      <c r="B21" t="s">
        <v>70</v>
      </c>
      <c r="C21">
        <v>207661</v>
      </c>
    </row>
    <row r="22" spans="1:3" x14ac:dyDescent="0.25">
      <c r="A22" t="s">
        <v>16</v>
      </c>
      <c r="B22" t="s">
        <v>65</v>
      </c>
      <c r="C22">
        <v>506274</v>
      </c>
    </row>
    <row r="23" spans="1:3" x14ac:dyDescent="0.25">
      <c r="A23" t="s">
        <v>33</v>
      </c>
      <c r="B23" t="s">
        <v>71</v>
      </c>
      <c r="C23">
        <v>201748</v>
      </c>
    </row>
    <row r="24" spans="1:3" x14ac:dyDescent="0.25">
      <c r="A24" t="s">
        <v>45</v>
      </c>
      <c r="B24" t="s">
        <v>71</v>
      </c>
      <c r="C24">
        <v>201748</v>
      </c>
    </row>
    <row r="25" spans="1:3" x14ac:dyDescent="0.25">
      <c r="A25" t="s">
        <v>10</v>
      </c>
      <c r="B25" t="s">
        <v>61</v>
      </c>
      <c r="C25">
        <v>266875</v>
      </c>
    </row>
    <row r="26" spans="1:3" x14ac:dyDescent="0.25">
      <c r="A26" t="s">
        <v>24</v>
      </c>
      <c r="B26" t="s">
        <v>61</v>
      </c>
      <c r="C26">
        <v>266875</v>
      </c>
    </row>
    <row r="27" spans="1:3" x14ac:dyDescent="0.25">
      <c r="A27" t="s">
        <v>8</v>
      </c>
      <c r="B27" t="s">
        <v>66</v>
      </c>
      <c r="C27">
        <v>388497</v>
      </c>
    </row>
    <row r="28" spans="1:3" x14ac:dyDescent="0.25">
      <c r="A28" t="s">
        <v>19</v>
      </c>
      <c r="B28" t="s">
        <v>67</v>
      </c>
      <c r="C28">
        <v>197560</v>
      </c>
    </row>
    <row r="29" spans="1:3" x14ac:dyDescent="0.25">
      <c r="A29" t="s">
        <v>40</v>
      </c>
      <c r="B29" t="s">
        <v>60</v>
      </c>
      <c r="C29">
        <v>323188</v>
      </c>
    </row>
    <row r="30" spans="1:3" x14ac:dyDescent="0.25">
      <c r="A30" t="s">
        <v>26</v>
      </c>
      <c r="B30" t="s">
        <v>72</v>
      </c>
      <c r="C30">
        <v>368841</v>
      </c>
    </row>
    <row r="31" spans="1:3" x14ac:dyDescent="0.25">
      <c r="A31" t="s">
        <v>35</v>
      </c>
      <c r="B31" t="s">
        <v>59</v>
      </c>
      <c r="C31">
        <v>298177</v>
      </c>
    </row>
    <row r="32" spans="1:3" x14ac:dyDescent="0.25">
      <c r="A32" t="s">
        <v>22</v>
      </c>
      <c r="B32" t="s">
        <v>69</v>
      </c>
      <c r="C32">
        <v>227418</v>
      </c>
    </row>
    <row r="33" spans="1:3" x14ac:dyDescent="0.25">
      <c r="A33" t="s">
        <v>42</v>
      </c>
      <c r="B33" t="s">
        <v>64</v>
      </c>
      <c r="C33">
        <v>188622</v>
      </c>
    </row>
    <row r="34" spans="1:3" x14ac:dyDescent="0.25">
      <c r="A34" t="s">
        <v>46</v>
      </c>
      <c r="B34" t="s">
        <v>65</v>
      </c>
      <c r="C34">
        <v>506274</v>
      </c>
    </row>
    <row r="35" spans="1:3" x14ac:dyDescent="0.25">
      <c r="A35" t="s">
        <v>14</v>
      </c>
      <c r="B35" t="s">
        <v>14</v>
      </c>
      <c r="C35">
        <v>256076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7A9F71624D446A5C8FF2C98AF9792" ma:contentTypeVersion="17" ma:contentTypeDescription="Create a new document." ma:contentTypeScope="" ma:versionID="c212f9082dc27f108e0e11a74afde11d">
  <xsd:schema xmlns:xsd="http://www.w3.org/2001/XMLSchema" xmlns:xs="http://www.w3.org/2001/XMLSchema" xmlns:p="http://schemas.microsoft.com/office/2006/metadata/properties" xmlns:ns2="039e9714-6d50-452e-b251-2dbe47012caf" xmlns:ns3="95a8a2bb-92c3-4b0c-ab0f-ced3bfbfc2a6" targetNamespace="http://schemas.microsoft.com/office/2006/metadata/properties" ma:root="true" ma:fieldsID="d24d77945c920c7790d2a4f0a957be2a" ns2:_="" ns3:_="">
    <xsd:import namespace="039e9714-6d50-452e-b251-2dbe47012caf"/>
    <xsd:import namespace="95a8a2bb-92c3-4b0c-ab0f-ced3bfbfc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e9714-6d50-452e-b251-2dbe47012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8a2bb-92c3-4b0c-ab0f-ced3bfbfc2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9e9714-6d50-452e-b251-2dbe47012caf">
      <Terms xmlns="http://schemas.microsoft.com/office/infopath/2007/PartnerControls"/>
    </lcf76f155ced4ddcb4097134ff3c332f>
    <SharedWithUsers xmlns="95a8a2bb-92c3-4b0c-ab0f-ced3bfbfc2a6">
      <UserInfo>
        <DisplayName/>
        <AccountId xsi:nil="true"/>
        <AccountType/>
      </UserInfo>
    </SharedWithUsers>
    <Notes xmlns="039e9714-6d50-452e-b251-2dbe47012caf" xsi:nil="true"/>
  </documentManagement>
</p:properties>
</file>

<file path=customXml/itemProps1.xml><?xml version="1.0" encoding="utf-8"?>
<ds:datastoreItem xmlns:ds="http://schemas.openxmlformats.org/officeDocument/2006/customXml" ds:itemID="{45171986-0910-4956-8C21-9A7B2231E67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5D8DE87-D708-4B81-8579-0C9AC000AE2F}"/>
</file>

<file path=customXml/itemProps3.xml><?xml version="1.0" encoding="utf-8"?>
<ds:datastoreItem xmlns:ds="http://schemas.openxmlformats.org/officeDocument/2006/customXml" ds:itemID="{9441C0B3-2A5B-4349-962D-DA6BC0FD8075}"/>
</file>

<file path=customXml/itemProps4.xml><?xml version="1.0" encoding="utf-8"?>
<ds:datastoreItem xmlns:ds="http://schemas.openxmlformats.org/officeDocument/2006/customXml" ds:itemID="{C0C7B18C-7C5F-4DBD-9BF7-F9C8BD2796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Arseneau, Ronalyn</dc:creator>
  <cp:keywords/>
  <dc:description/>
  <cp:lastModifiedBy>Marie</cp:lastModifiedBy>
  <cp:revision/>
  <dcterms:created xsi:type="dcterms:W3CDTF">2023-01-15T23:56:45Z</dcterms:created>
  <dcterms:modified xsi:type="dcterms:W3CDTF">2023-07-12T19:00:10Z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0x01010040E7A9F71624D446A5C8FF2C98AF9792</vt:lpwstr>
  </property>
  <property fmtid="{D5CDD505-2E9C-101B-9397-08002B2CF9AE}" pid="3" name="Order">
    <vt:r8>3457600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