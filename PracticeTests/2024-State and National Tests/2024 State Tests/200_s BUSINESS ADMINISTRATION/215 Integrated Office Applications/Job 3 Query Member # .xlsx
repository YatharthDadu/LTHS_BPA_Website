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ce-my.sharepoint.com/personal/dharrington_ncce_org/Documents/BPA/Integrated Office/2024/"/>
    </mc:Choice>
  </mc:AlternateContent>
  <xr:revisionPtr revIDLastSave="12" documentId="13_ncr:1_{C0C67488-8E6D-4892-89F8-B8E3F4A98134}" xr6:coauthVersionLast="47" xr6:coauthVersionMax="47" xr10:uidLastSave="{25433F6D-001B-4522-A7B5-02A1E98F8FBF}"/>
  <bookViews>
    <workbookView xWindow="-98" yWindow="-98" windowWidth="22695" windowHeight="14595" firstSheet="1" activeTab="1" xr2:uid="{00000000-000D-0000-FFFF-FFFF00000000}"/>
  </bookViews>
  <sheets>
    <sheet name="Job_2C_Query_Member_." sheetId="1" r:id="rId1"/>
    <sheet name="Key" sheetId="2" r:id="rId2"/>
  </sheets>
  <definedNames>
    <definedName name="Job_2C_Query_Member_." localSheetId="1">Key!$A$1:$K$6</definedName>
    <definedName name="Job_2C_Query_Member_.">Job_2C_Query_Member_.!$A$1:$J$6</definedName>
    <definedName name="_xlnm.Print_Area" localSheetId="1">Key!$A$1:$O$33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L3" i="2"/>
  <c r="M3" i="2" s="1"/>
  <c r="L4" i="2"/>
  <c r="M4" i="2" s="1"/>
  <c r="L5" i="2"/>
  <c r="L6" i="2"/>
  <c r="L2" i="2"/>
  <c r="M2" i="2"/>
  <c r="M5" i="2"/>
  <c r="O5" i="2" s="1"/>
  <c r="M6" i="2"/>
  <c r="N6" i="2" s="1"/>
  <c r="O6" i="2" s="1"/>
  <c r="O4" i="2" l="1"/>
  <c r="O3" i="2"/>
  <c r="N4" i="2"/>
  <c r="N2" i="2"/>
  <c r="O2" i="2" s="1"/>
  <c r="N3" i="2"/>
</calcChain>
</file>

<file path=xl/sharedStrings.xml><?xml version="1.0" encoding="utf-8"?>
<sst xmlns="http://schemas.openxmlformats.org/spreadsheetml/2006/main" count="100" uniqueCount="56">
  <si>
    <t>LName</t>
  </si>
  <si>
    <t>FName</t>
  </si>
  <si>
    <t>Title</t>
  </si>
  <si>
    <t>Department</t>
  </si>
  <si>
    <t>New Employee</t>
  </si>
  <si>
    <t>Phone Number</t>
  </si>
  <si>
    <t>SS.</t>
  </si>
  <si>
    <t>Base Pay</t>
  </si>
  <si>
    <t>Department Head</t>
  </si>
  <si>
    <t>Bonus</t>
  </si>
  <si>
    <t>Brown</t>
  </si>
  <si>
    <t>Charlie</t>
  </si>
  <si>
    <t>Desktop Publisher</t>
  </si>
  <si>
    <t>Marketing</t>
  </si>
  <si>
    <t>(187) 871-1235</t>
  </si>
  <si>
    <t>453-54-8790</t>
  </si>
  <si>
    <t>Roger Meyer</t>
  </si>
  <si>
    <t>Dominquez</t>
  </si>
  <si>
    <t>Alexandre</t>
  </si>
  <si>
    <t>Accountant</t>
  </si>
  <si>
    <t>Financial Services</t>
  </si>
  <si>
    <t>(121) 344-6532</t>
  </si>
  <si>
    <t>123-34-9877</t>
  </si>
  <si>
    <t>Harvey Rosen</t>
  </si>
  <si>
    <t>Doyonant</t>
  </si>
  <si>
    <t>Ingrid</t>
  </si>
  <si>
    <t>Graphic Design Assistant</t>
  </si>
  <si>
    <t>Administrative Support</t>
  </si>
  <si>
    <t>(414) 465-2371</t>
  </si>
  <si>
    <t>765-33-6655</t>
  </si>
  <si>
    <t>Edna Renick</t>
  </si>
  <si>
    <t>Marchand</t>
  </si>
  <si>
    <t>Andreas</t>
  </si>
  <si>
    <t>PC Service Technician</t>
  </si>
  <si>
    <t>Information Technology</t>
  </si>
  <si>
    <t>(908) 861-9062</t>
  </si>
  <si>
    <t>231-67-8890</t>
  </si>
  <si>
    <t>Tom Carlson</t>
  </si>
  <si>
    <t>Sutton</t>
  </si>
  <si>
    <t>Brittany</t>
  </si>
  <si>
    <t>Wellness Coordinator</t>
  </si>
  <si>
    <t>Human Resources</t>
  </si>
  <si>
    <t>(616) 357-1452</t>
  </si>
  <si>
    <t>878-55-8865</t>
  </si>
  <si>
    <t>Julie Smith</t>
  </si>
  <si>
    <t>Full Name</t>
  </si>
  <si>
    <t>SS#</t>
  </si>
  <si>
    <t>Moving Allowance</t>
  </si>
  <si>
    <t>Total Base Pay</t>
  </si>
  <si>
    <t>Projected Taxes</t>
  </si>
  <si>
    <t>Net Pay</t>
  </si>
  <si>
    <t>Charlie Brown</t>
  </si>
  <si>
    <t>Alexandre Dominquez</t>
  </si>
  <si>
    <t>Ingrid Doyonant</t>
  </si>
  <si>
    <t>Andreas Marchand</t>
  </si>
  <si>
    <t>Brittany Sutton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</si>
</sst>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0_);_(&quot;$&quot;* \(#,##0.00\);_(&quot;$&quot;* &quot;-&quot;??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 applyAlignment="1">
      <alignment vertical="center"/>
    </xf>
    <xf numFmtId="0" fontId="1" fillId="0" borderId="0" xfId="0" applyFont="1"/>
    <xf numFmtId="44" fontId="0" fillId="0" borderId="0" xfId="0" applyNumberFormat="1"/>
    <xf numFmtId="164" fontId="0" fillId="0" borderId="0" xfId="0" applyNumberFormat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Key!$C$2:$C$6</c:f>
              <c:strCache>
                <c:ptCount val="5"/>
                <c:pt idx="0">
                  <c:v>Charlie Brown</c:v>
                </c:pt>
                <c:pt idx="1">
                  <c:v>Alexandre Dominquez</c:v>
                </c:pt>
                <c:pt idx="2">
                  <c:v>Ingrid Doyonant</c:v>
                </c:pt>
                <c:pt idx="3">
                  <c:v>Andreas Marchand</c:v>
                </c:pt>
                <c:pt idx="4">
                  <c:v>Brittany Sutton</c:v>
                </c:pt>
              </c:strCache>
            </c:strRef>
          </c:cat>
          <c:val>
            <c:numRef>
              <c:f>Key!$O$2:$O$6</c:f>
              <c:numCache>
                <c:formatCode>_("$"* #,##0.00_);_("$"* \(#,##0.00\);_("$"* "-"??_);_(@_)</c:formatCode>
                <c:ptCount val="5"/>
                <c:pt idx="0">
                  <c:v>49875</c:v>
                </c:pt>
                <c:pt idx="1">
                  <c:v>71137.5</c:v>
                </c:pt>
                <c:pt idx="2">
                  <c:v>39581.25</c:v>
                </c:pt>
                <c:pt idx="3">
                  <c:v>57750</c:v>
                </c:pt>
                <c:pt idx="4">
                  <c:v>44700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6-42C7-8FF3-459523DAB4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0698752"/>
        <c:axId val="160704576"/>
      </c:barChart>
      <c:catAx>
        <c:axId val="16069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4576"/>
        <c:crosses val="autoZero"/>
        <c:auto val="1"/>
        <c:lblAlgn val="ctr"/>
        <c:lblOffset val="100"/>
        <c:noMultiLvlLbl val="0"/>
      </c:catAx>
      <c:valAx>
        <c:axId val="16070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71438</xdr:rowOff>
    </xdr:from>
    <xdr:to>
      <xdr:col>14</xdr:col>
      <xdr:colOff>623887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A9FC8-0583-2A04-DE72-24897F999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G13" sqref="G13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b">
        <v>1</v>
      </c>
      <c r="F2" t="s">
        <v>14</v>
      </c>
      <c r="G2" t="s">
        <v>15</v>
      </c>
      <c r="H2" s="1">
        <v>60000</v>
      </c>
      <c r="I2" t="s">
        <v>16</v>
      </c>
      <c r="J2">
        <v>3000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b">
        <v>1</v>
      </c>
      <c r="F3" t="s">
        <v>21</v>
      </c>
      <c r="G3" t="s">
        <v>22</v>
      </c>
      <c r="H3" s="1">
        <v>87000</v>
      </c>
      <c r="I3" t="s">
        <v>23</v>
      </c>
      <c r="J3">
        <v>4350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t="b">
        <v>1</v>
      </c>
      <c r="F4" t="s">
        <v>28</v>
      </c>
      <c r="G4" t="s">
        <v>29</v>
      </c>
      <c r="H4" s="1">
        <v>45500</v>
      </c>
      <c r="I4" t="s">
        <v>30</v>
      </c>
      <c r="J4">
        <v>2275</v>
      </c>
    </row>
    <row r="5" spans="1:10">
      <c r="A5" t="s">
        <v>31</v>
      </c>
      <c r="B5" t="s">
        <v>32</v>
      </c>
      <c r="C5" t="s">
        <v>33</v>
      </c>
      <c r="D5" t="s">
        <v>34</v>
      </c>
      <c r="E5" t="b">
        <v>1</v>
      </c>
      <c r="F5" t="s">
        <v>35</v>
      </c>
      <c r="G5" t="s">
        <v>36</v>
      </c>
      <c r="H5" s="1">
        <v>70000</v>
      </c>
      <c r="I5" t="s">
        <v>37</v>
      </c>
      <c r="J5">
        <v>3500</v>
      </c>
    </row>
    <row r="6" spans="1:10">
      <c r="A6" t="s">
        <v>38</v>
      </c>
      <c r="B6" t="s">
        <v>39</v>
      </c>
      <c r="C6" t="s">
        <v>40</v>
      </c>
      <c r="D6" t="s">
        <v>41</v>
      </c>
      <c r="E6" t="b">
        <v>1</v>
      </c>
      <c r="F6" t="s">
        <v>42</v>
      </c>
      <c r="G6" t="s">
        <v>43</v>
      </c>
      <c r="H6" s="1">
        <v>52000</v>
      </c>
      <c r="I6" t="s">
        <v>44</v>
      </c>
      <c r="J6">
        <v>2600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6B11-F99C-46A0-AB5A-4B3DC3313BE4}">
  <sheetPr>
    <pageSetUpPr fitToPage="1"/>
  </sheetPr>
  <dimension ref="A1:O6"/>
  <sheetViews>
    <sheetView tabSelected="1" workbookViewId="0">
      <selection activeCell="F1" sqref="F1:H1048576"/>
    </sheetView>
  </sheetViews>
  <sheetFormatPr defaultRowHeight="14.25"/>
  <cols>
    <col min="1" max="1" width="9.5703125" bestFit="1" customWidth="1"/>
    <col min="2" max="2" width="8.7109375" bestFit="1" customWidth="1"/>
    <col min="3" max="3" width="18.140625" bestFit="1" customWidth="1"/>
    <col min="4" max="4" width="23" bestFit="1" customWidth="1"/>
    <col min="5" max="5" width="22.42578125" bestFit="1" customWidth="1"/>
    <col min="6" max="6" width="13" hidden="1" customWidth="1"/>
    <col min="7" max="7" width="13.140625" hidden="1" customWidth="1"/>
    <col min="8" max="8" width="11" hidden="1" customWidth="1"/>
    <col min="9" max="9" width="10.85546875" bestFit="1" customWidth="1"/>
    <col min="10" max="10" width="14.85546875" hidden="1" customWidth="1"/>
    <col min="11" max="11" width="9.85546875" bestFit="1" customWidth="1"/>
    <col min="12" max="12" width="27.140625" customWidth="1"/>
    <col min="13" max="13" width="12.42578125" bestFit="1" customWidth="1"/>
    <col min="14" max="14" width="15.28515625" bestFit="1" customWidth="1"/>
    <col min="15" max="15" width="11.85546875" bestFit="1" customWidth="1"/>
  </cols>
  <sheetData>
    <row r="1" spans="1:15">
      <c r="A1" s="2" t="s">
        <v>0</v>
      </c>
      <c r="B1" s="2" t="s">
        <v>1</v>
      </c>
      <c r="C1" s="2" t="s">
        <v>45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46</v>
      </c>
      <c r="I1" s="2" t="s">
        <v>7</v>
      </c>
      <c r="J1" s="2" t="s">
        <v>8</v>
      </c>
      <c r="K1" s="2" t="s">
        <v>9</v>
      </c>
      <c r="L1" s="2" t="s">
        <v>47</v>
      </c>
      <c r="M1" s="2" t="s">
        <v>48</v>
      </c>
      <c r="N1" s="2" t="s">
        <v>49</v>
      </c>
      <c r="O1" s="2" t="s">
        <v>50</v>
      </c>
    </row>
    <row r="2" spans="1:15">
      <c r="A2" t="s">
        <v>10</v>
      </c>
      <c r="B2" t="s">
        <v>11</v>
      </c>
      <c r="C2" t="s">
        <v>51</v>
      </c>
      <c r="D2" t="s">
        <v>12</v>
      </c>
      <c r="E2" t="s">
        <v>13</v>
      </c>
      <c r="F2" t="b">
        <v>1</v>
      </c>
      <c r="G2" t="s">
        <v>14</v>
      </c>
      <c r="H2" t="s">
        <v>15</v>
      </c>
      <c r="I2" s="4">
        <v>60000</v>
      </c>
      <c r="J2" t="s">
        <v>16</v>
      </c>
      <c r="K2" s="5">
        <v>3000</v>
      </c>
      <c r="L2" s="6">
        <f>IF(I2&gt;=60000,3500,5000)</f>
        <v>3500</v>
      </c>
      <c r="M2" s="3">
        <f>SUM(I2:L2)</f>
        <v>66500</v>
      </c>
      <c r="N2" s="3">
        <f>M2*0.25</f>
        <v>16625</v>
      </c>
      <c r="O2" s="3">
        <f>M2-N2</f>
        <v>49875</v>
      </c>
    </row>
    <row r="3" spans="1:15">
      <c r="A3" t="s">
        <v>17</v>
      </c>
      <c r="B3" t="s">
        <v>18</v>
      </c>
      <c r="C3" t="s">
        <v>52</v>
      </c>
      <c r="D3" t="s">
        <v>19</v>
      </c>
      <c r="E3" t="s">
        <v>20</v>
      </c>
      <c r="F3" t="b">
        <v>1</v>
      </c>
      <c r="G3" t="s">
        <v>21</v>
      </c>
      <c r="H3" t="s">
        <v>22</v>
      </c>
      <c r="I3" s="4">
        <v>87000</v>
      </c>
      <c r="J3" t="s">
        <v>23</v>
      </c>
      <c r="K3" s="5">
        <v>4350</v>
      </c>
      <c r="L3" s="6">
        <f t="shared" ref="L3:L6" si="0">IF(I3&gt;=60000,3500,5000)</f>
        <v>3500</v>
      </c>
      <c r="M3" s="3">
        <f t="shared" ref="M3:M6" si="1">SUM(I3:L3)</f>
        <v>94850</v>
      </c>
      <c r="N3" s="3">
        <f t="shared" ref="N3:N6" si="2">M3*0.25</f>
        <v>23712.5</v>
      </c>
      <c r="O3" s="3">
        <f t="shared" ref="O3:O6" si="3">M3-N3</f>
        <v>71137.5</v>
      </c>
    </row>
    <row r="4" spans="1:15">
      <c r="A4" t="s">
        <v>24</v>
      </c>
      <c r="B4" t="s">
        <v>25</v>
      </c>
      <c r="C4" t="s">
        <v>53</v>
      </c>
      <c r="D4" t="s">
        <v>26</v>
      </c>
      <c r="E4" t="s">
        <v>27</v>
      </c>
      <c r="F4" t="b">
        <v>1</v>
      </c>
      <c r="G4" t="s">
        <v>28</v>
      </c>
      <c r="H4" t="s">
        <v>29</v>
      </c>
      <c r="I4" s="4">
        <v>45500</v>
      </c>
      <c r="J4" t="s">
        <v>30</v>
      </c>
      <c r="K4" s="5">
        <v>2275</v>
      </c>
      <c r="L4" s="6">
        <f t="shared" si="0"/>
        <v>5000</v>
      </c>
      <c r="M4" s="3">
        <f t="shared" si="1"/>
        <v>52775</v>
      </c>
      <c r="N4" s="3">
        <f t="shared" si="2"/>
        <v>13193.75</v>
      </c>
      <c r="O4" s="3">
        <f t="shared" si="3"/>
        <v>39581.25</v>
      </c>
    </row>
    <row r="5" spans="1:15">
      <c r="A5" t="s">
        <v>31</v>
      </c>
      <c r="B5" t="s">
        <v>32</v>
      </c>
      <c r="C5" t="s">
        <v>54</v>
      </c>
      <c r="D5" t="s">
        <v>33</v>
      </c>
      <c r="E5" t="s">
        <v>34</v>
      </c>
      <c r="F5" t="b">
        <v>1</v>
      </c>
      <c r="G5" t="s">
        <v>35</v>
      </c>
      <c r="H5" t="s">
        <v>36</v>
      </c>
      <c r="I5" s="4">
        <v>70000</v>
      </c>
      <c r="J5" t="s">
        <v>37</v>
      </c>
      <c r="K5" s="5">
        <v>3500</v>
      </c>
      <c r="L5" s="6">
        <f t="shared" si="0"/>
        <v>3500</v>
      </c>
      <c r="M5" s="3">
        <f t="shared" si="1"/>
        <v>77000</v>
      </c>
      <c r="N5" s="3">
        <f t="shared" si="2"/>
        <v>19250</v>
      </c>
      <c r="O5" s="3">
        <f t="shared" si="3"/>
        <v>57750</v>
      </c>
    </row>
    <row r="6" spans="1:15">
      <c r="A6" t="s">
        <v>38</v>
      </c>
      <c r="B6" t="s">
        <v>39</v>
      </c>
      <c r="C6" t="s">
        <v>55</v>
      </c>
      <c r="D6" t="s">
        <v>40</v>
      </c>
      <c r="E6" t="s">
        <v>41</v>
      </c>
      <c r="F6" t="b">
        <v>1</v>
      </c>
      <c r="G6" t="s">
        <v>42</v>
      </c>
      <c r="H6" t="s">
        <v>43</v>
      </c>
      <c r="I6" s="4">
        <v>52000</v>
      </c>
      <c r="J6" t="s">
        <v>44</v>
      </c>
      <c r="K6" s="5">
        <v>2600</v>
      </c>
      <c r="L6" s="6">
        <f t="shared" si="0"/>
        <v>5000</v>
      </c>
      <c r="M6" s="3">
        <f t="shared" si="1"/>
        <v>59600</v>
      </c>
      <c r="N6" s="3">
        <f t="shared" si="2"/>
        <v>14900</v>
      </c>
      <c r="O6" s="3">
        <f t="shared" si="3"/>
        <v>44700</v>
      </c>
    </row>
  </sheetData>
  <pageMargins left="0.7" right="0.7" top="0.75" bottom="0.75" header="0.3" footer="0.3"/>
  <pageSetup scale="7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D7159E8D-DD19-4CC4-A4BD-CD4EB4A092BD}"/>
</file>

<file path=customXml/itemProps2.xml><?xml version="1.0" encoding="utf-8"?>
<ds:datastoreItem xmlns:ds="http://schemas.openxmlformats.org/officeDocument/2006/customXml" ds:itemID="{2C33F4D2-A51D-4448-8121-D2A223864F06}"/>
</file>

<file path=customXml/itemProps3.xml><?xml version="1.0" encoding="utf-8"?>
<ds:datastoreItem xmlns:ds="http://schemas.openxmlformats.org/officeDocument/2006/customXml" ds:itemID="{0454802D-99DE-40CB-AD71-0E404806B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Diane Harrington</dc:creator>
  <cp:keywords/>
  <dc:description/>
  <cp:lastModifiedBy>Diane Harrington</cp:lastModifiedBy>
  <cp:revision/>
  <dcterms:created xsi:type="dcterms:W3CDTF">2023-01-18T21:14:24Z</dcterms:created>
  <dcterms:modified xsi:type="dcterms:W3CDTF">2023-01-27T01:15:16Z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1476600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