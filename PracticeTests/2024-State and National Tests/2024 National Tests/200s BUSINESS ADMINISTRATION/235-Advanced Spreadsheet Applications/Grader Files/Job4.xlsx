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Advanced Spreadsheet Applications\National Advanced Spreadsheet Applications\Grader Files\"/>
    </mc:Choice>
  </mc:AlternateContent>
  <xr:revisionPtr revIDLastSave="0" documentId="8_{AC977E40-C725-4449-B120-5C440381C47D}" xr6:coauthVersionLast="36" xr6:coauthVersionMax="36" xr10:uidLastSave="{00000000-0000-0000-0000-000000000000}"/>
  <bookViews>
    <workbookView xWindow="0" yWindow="0" windowWidth="23040" windowHeight="8778" activeTab="1" xr2:uid="{9C3D833E-0ADA-41CD-A7E1-3DFB1E9C2EC7}"/>
  </bookViews>
  <sheets>
    <sheet name="Commissions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  <c r="D43" i="1"/>
  <c r="D42" i="1"/>
  <c r="D39" i="1"/>
  <c r="D37" i="1"/>
  <c r="D32" i="1"/>
  <c r="D28" i="1"/>
  <c r="D23" i="1"/>
  <c r="D17" i="1"/>
  <c r="D13" i="1"/>
  <c r="D7" i="1"/>
  <c r="D33" i="1"/>
  <c r="D18" i="1"/>
  <c r="D38" i="1"/>
  <c r="D24" i="1"/>
  <c r="D8" i="1"/>
  <c r="D34" i="1"/>
  <c r="D14" i="1"/>
  <c r="D40" i="1"/>
  <c r="D19" i="1"/>
  <c r="D9" i="1"/>
  <c r="D29" i="1"/>
  <c r="D35" i="1"/>
  <c r="D20" i="1"/>
  <c r="D21" i="1"/>
  <c r="D30" i="1"/>
  <c r="D22" i="1"/>
  <c r="D3" i="1"/>
  <c r="D36" i="1"/>
  <c r="D10" i="1"/>
  <c r="D41" i="1"/>
  <c r="D4" i="1"/>
  <c r="D25" i="1"/>
  <c r="D31" i="1"/>
  <c r="D5" i="1"/>
  <c r="D15" i="1"/>
  <c r="D26" i="1"/>
  <c r="D16" i="1"/>
  <c r="D6" i="1"/>
  <c r="D11" i="1"/>
  <c r="D12" i="1"/>
  <c r="D27" i="1"/>
  <c r="D2" i="1"/>
</calcChain>
</file>

<file path=xl/sharedStrings.xml><?xml version="1.0" encoding="utf-8"?>
<sst xmlns="http://schemas.openxmlformats.org/spreadsheetml/2006/main" count="56" uniqueCount="23">
  <si>
    <t>Date of Sale</t>
  </si>
  <si>
    <t>Sales Agent</t>
  </si>
  <si>
    <t>Sale Price</t>
  </si>
  <si>
    <t>Alvarez</t>
  </si>
  <si>
    <t>Boone</t>
  </si>
  <si>
    <t>Grady</t>
  </si>
  <si>
    <t>Locklear</t>
  </si>
  <si>
    <t>Nguyen</t>
  </si>
  <si>
    <t>Patel</t>
  </si>
  <si>
    <t>Robinson</t>
  </si>
  <si>
    <t>Williams</t>
  </si>
  <si>
    <t>Wu</t>
  </si>
  <si>
    <t>Commission Earned</t>
  </si>
  <si>
    <t>Alvarez Total</t>
  </si>
  <si>
    <t>Boone Total</t>
  </si>
  <si>
    <t>Grady Total</t>
  </si>
  <si>
    <t>Locklear Total</t>
  </si>
  <si>
    <t>Nguyen Total</t>
  </si>
  <si>
    <t>Patel Total</t>
  </si>
  <si>
    <t>Robinson Total</t>
  </si>
  <si>
    <t>Williams Total</t>
  </si>
  <si>
    <t>Wu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</si>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</sst>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Border="1"/>
    <xf numFmtId="0" fontId="0" fillId="0" borderId="0" xfId="0" applyBorder="1"/>
    <xf numFmtId="0" fontId="1" fillId="0" borderId="0" xfId="0" applyFont="1"/>
    <xf numFmtId="0" fontId="0" fillId="0" borderId="0" xfId="0" applyFont="1" applyAlignment="1">
      <alignment horizontal="left"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Chart!$A$1:$A$10</c:f>
              <c:strCache>
                <c:ptCount val="10"/>
                <c:pt idx="0">
                  <c:v>Sales Agent</c:v>
                </c:pt>
                <c:pt idx="1">
                  <c:v>Alvarez</c:v>
                </c:pt>
                <c:pt idx="2">
                  <c:v>Boone</c:v>
                </c:pt>
                <c:pt idx="3">
                  <c:v>Grady</c:v>
                </c:pt>
                <c:pt idx="4">
                  <c:v>Locklear</c:v>
                </c:pt>
                <c:pt idx="5">
                  <c:v>Nguyen</c:v>
                </c:pt>
                <c:pt idx="6">
                  <c:v>Patel</c:v>
                </c:pt>
                <c:pt idx="7">
                  <c:v>Robinson</c:v>
                </c:pt>
                <c:pt idx="8">
                  <c:v>Williams</c:v>
                </c:pt>
                <c:pt idx="9">
                  <c:v>Wu</c:v>
                </c:pt>
              </c:strCache>
            </c:strRef>
          </c:cat>
          <c:val>
            <c:numRef>
              <c:f>Chart!$B$1:$B$10</c:f>
              <c:numCache>
                <c:formatCode>General</c:formatCode>
                <c:ptCount val="10"/>
                <c:pt idx="1">
                  <c:v>21706</c:v>
                </c:pt>
                <c:pt idx="2">
                  <c:v>22140</c:v>
                </c:pt>
                <c:pt idx="3">
                  <c:v>8398</c:v>
                </c:pt>
                <c:pt idx="4">
                  <c:v>18718</c:v>
                </c:pt>
                <c:pt idx="5">
                  <c:v>15376</c:v>
                </c:pt>
                <c:pt idx="6">
                  <c:v>14300</c:v>
                </c:pt>
                <c:pt idx="7">
                  <c:v>11685</c:v>
                </c:pt>
                <c:pt idx="8">
                  <c:v>5980</c:v>
                </c:pt>
                <c:pt idx="9">
                  <c:v>11788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3-4596-9B70-800FA4FD73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25">
      <a:fgClr>
        <a:schemeClr val="dk1"/>
      </a:fgClr>
      <a:bgClr>
        <a:schemeClr val="bg1"/>
      </a:bgClr>
    </a:pattFill>
    <a:ln w="76200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19050</xdr:rowOff>
    </xdr:from>
    <xdr:to>
      <xdr:col>8</xdr:col>
      <xdr:colOff>3810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B9E88-3436-4401-A3FA-AD23E24E3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3AB4-2F1F-42DF-86A7-BB3E6B91270C}">
  <dimension ref="A1:D43"/>
  <sheetViews>
    <sheetView view="pageLayout" topLeftCell="A35" zoomScaleNormal="100" workbookViewId="0">
      <selection activeCell="A2" sqref="A2:D33"/>
    </sheetView>
  </sheetViews>
  <sheetFormatPr defaultRowHeight="14.4" outlineLevelRow="2" x14ac:dyDescent="0.55000000000000004"/>
  <cols>
    <col min="1" max="1" width="10.15625" bestFit="1" customWidth="1"/>
    <col min="4" max="4" width="11.47265625" customWidth="1"/>
  </cols>
  <sheetData>
    <row r="1" spans="1:4" ht="28.8" x14ac:dyDescent="0.55000000000000004">
      <c r="A1" s="1" t="s">
        <v>0</v>
      </c>
      <c r="B1" s="1" t="s">
        <v>1</v>
      </c>
      <c r="C1" s="2" t="s">
        <v>2</v>
      </c>
      <c r="D1" s="1" t="s">
        <v>12</v>
      </c>
    </row>
    <row r="2" spans="1:4" outlineLevel="2" x14ac:dyDescent="0.55000000000000004">
      <c r="A2" s="3">
        <v>45200</v>
      </c>
      <c r="B2" t="s">
        <v>3</v>
      </c>
      <c r="C2">
        <v>159500</v>
      </c>
      <c r="D2">
        <f>IF(C2&gt;300000,C2*0.01,C2*0.02)</f>
        <v>3190</v>
      </c>
    </row>
    <row r="3" spans="1:4" outlineLevel="2" x14ac:dyDescent="0.55000000000000004">
      <c r="A3" s="3">
        <v>45269</v>
      </c>
      <c r="B3" t="s">
        <v>3</v>
      </c>
      <c r="C3">
        <v>498000</v>
      </c>
      <c r="D3">
        <f>IF(C3&gt;300000,C3*0.01,C3*0.02)</f>
        <v>4980</v>
      </c>
    </row>
    <row r="4" spans="1:4" outlineLevel="2" x14ac:dyDescent="0.55000000000000004">
      <c r="A4" s="3">
        <v>45275</v>
      </c>
      <c r="B4" t="s">
        <v>3</v>
      </c>
      <c r="C4">
        <v>112800</v>
      </c>
      <c r="D4">
        <f>IF(C4&gt;300000,C4*0.01,C4*0.02)</f>
        <v>2256</v>
      </c>
    </row>
    <row r="5" spans="1:4" outlineLevel="2" x14ac:dyDescent="0.55000000000000004">
      <c r="A5" s="3">
        <v>45279</v>
      </c>
      <c r="B5" t="s">
        <v>3</v>
      </c>
      <c r="C5">
        <v>280000</v>
      </c>
      <c r="D5">
        <f>IF(C5&gt;300000,C5*0.01,C5*0.02)</f>
        <v>5600</v>
      </c>
    </row>
    <row r="6" spans="1:4" outlineLevel="2" x14ac:dyDescent="0.55000000000000004">
      <c r="A6" s="3">
        <v>45287</v>
      </c>
      <c r="B6" t="s">
        <v>3</v>
      </c>
      <c r="C6">
        <v>284000</v>
      </c>
      <c r="D6">
        <f>IF(C6&gt;300000,C6*0.01,C6*0.02)</f>
        <v>5680</v>
      </c>
    </row>
    <row r="7" spans="1:4" outlineLevel="1" x14ac:dyDescent="0.55000000000000004">
      <c r="A7" s="3"/>
      <c r="B7" s="8" t="s">
        <v>13</v>
      </c>
      <c r="D7">
        <f>SUBTOTAL(9,D2:D6)</f>
        <v>21706</v>
      </c>
    </row>
    <row r="8" spans="1:4" outlineLevel="2" x14ac:dyDescent="0.55000000000000004">
      <c r="A8" s="3">
        <v>45218</v>
      </c>
      <c r="B8" t="s">
        <v>4</v>
      </c>
      <c r="C8">
        <v>179000</v>
      </c>
      <c r="D8">
        <f>IF(C8&gt;300000,C8*0.01,C8*0.02)</f>
        <v>3580</v>
      </c>
    </row>
    <row r="9" spans="1:4" outlineLevel="2" x14ac:dyDescent="0.55000000000000004">
      <c r="A9" s="3">
        <v>45246</v>
      </c>
      <c r="B9" t="s">
        <v>4</v>
      </c>
      <c r="C9">
        <v>357000</v>
      </c>
      <c r="D9">
        <f>IF(C9&gt;300000,C9*0.01,C9*0.02)</f>
        <v>3570</v>
      </c>
    </row>
    <row r="10" spans="1:4" outlineLevel="2" x14ac:dyDescent="0.55000000000000004">
      <c r="A10" s="3">
        <v>45271</v>
      </c>
      <c r="B10" t="s">
        <v>4</v>
      </c>
      <c r="C10">
        <v>265000</v>
      </c>
      <c r="D10">
        <f>IF(C10&gt;300000,C10*0.01,C10*0.02)</f>
        <v>5300</v>
      </c>
    </row>
    <row r="11" spans="1:4" outlineLevel="2" x14ac:dyDescent="0.55000000000000004">
      <c r="A11" s="3">
        <v>45287</v>
      </c>
      <c r="B11" t="s">
        <v>4</v>
      </c>
      <c r="C11">
        <v>249500</v>
      </c>
      <c r="D11">
        <f>IF(C11&gt;300000,C11*0.01,C11*0.02)</f>
        <v>4990</v>
      </c>
    </row>
    <row r="12" spans="1:4" outlineLevel="2" x14ac:dyDescent="0.55000000000000004">
      <c r="A12" s="3">
        <v>45288</v>
      </c>
      <c r="B12" t="s">
        <v>4</v>
      </c>
      <c r="C12">
        <v>235000</v>
      </c>
      <c r="D12">
        <f>IF(C12&gt;300000,C12*0.01,C12*0.02)</f>
        <v>4700</v>
      </c>
    </row>
    <row r="13" spans="1:4" outlineLevel="1" x14ac:dyDescent="0.55000000000000004">
      <c r="A13" s="3"/>
      <c r="B13" s="6" t="s">
        <v>14</v>
      </c>
      <c r="D13">
        <f>SUBTOTAL(9,D8:D12)</f>
        <v>22140</v>
      </c>
    </row>
    <row r="14" spans="1:4" outlineLevel="2" x14ac:dyDescent="0.55000000000000004">
      <c r="A14" s="3">
        <v>45242</v>
      </c>
      <c r="B14" t="s">
        <v>5</v>
      </c>
      <c r="C14">
        <v>105000</v>
      </c>
      <c r="D14">
        <f>IF(C14&gt;300000,C14*0.01,C14*0.02)</f>
        <v>2100</v>
      </c>
    </row>
    <row r="15" spans="1:4" outlineLevel="2" x14ac:dyDescent="0.55000000000000004">
      <c r="A15" s="3">
        <v>45280</v>
      </c>
      <c r="B15" t="s">
        <v>5</v>
      </c>
      <c r="C15">
        <v>69900</v>
      </c>
      <c r="D15">
        <f>IF(C15&gt;300000,C15*0.01,C15*0.02)</f>
        <v>1398</v>
      </c>
    </row>
    <row r="16" spans="1:4" outlineLevel="2" x14ac:dyDescent="0.55000000000000004">
      <c r="A16" s="3">
        <v>45282</v>
      </c>
      <c r="B16" t="s">
        <v>5</v>
      </c>
      <c r="C16">
        <v>245000</v>
      </c>
      <c r="D16">
        <f>IF(C16&gt;300000,C16*0.01,C16*0.02)</f>
        <v>4900</v>
      </c>
    </row>
    <row r="17" spans="1:4" outlineLevel="1" x14ac:dyDescent="0.55000000000000004">
      <c r="A17" s="3"/>
      <c r="B17" s="6" t="s">
        <v>15</v>
      </c>
      <c r="D17">
        <f>SUBTOTAL(9,D14:D16)</f>
        <v>8398</v>
      </c>
    </row>
    <row r="18" spans="1:4" outlineLevel="2" x14ac:dyDescent="0.55000000000000004">
      <c r="A18" s="4">
        <v>45214</v>
      </c>
      <c r="B18" s="5" t="s">
        <v>6</v>
      </c>
      <c r="C18" s="5">
        <v>346000</v>
      </c>
      <c r="D18">
        <f>IF(C18&gt;300000,C18*0.01,C18*0.02)</f>
        <v>3460</v>
      </c>
    </row>
    <row r="19" spans="1:4" outlineLevel="2" x14ac:dyDescent="0.55000000000000004">
      <c r="A19" s="3">
        <v>45245</v>
      </c>
      <c r="B19" t="s">
        <v>6</v>
      </c>
      <c r="C19">
        <v>265000</v>
      </c>
      <c r="D19">
        <f>IF(C19&gt;300000,C19*0.01,C19*0.02)</f>
        <v>5300</v>
      </c>
    </row>
    <row r="20" spans="1:4" outlineLevel="2" x14ac:dyDescent="0.55000000000000004">
      <c r="A20" s="3">
        <v>45249</v>
      </c>
      <c r="B20" t="s">
        <v>6</v>
      </c>
      <c r="C20">
        <v>173000</v>
      </c>
      <c r="D20">
        <f>IF(C20&gt;300000,C20*0.01,C20*0.02)</f>
        <v>3460</v>
      </c>
    </row>
    <row r="21" spans="1:4" outlineLevel="2" x14ac:dyDescent="0.55000000000000004">
      <c r="A21" s="3">
        <v>45266</v>
      </c>
      <c r="B21" t="s">
        <v>6</v>
      </c>
      <c r="C21">
        <v>63900</v>
      </c>
      <c r="D21">
        <f>IF(C21&gt;300000,C21*0.01,C21*0.02)</f>
        <v>1278</v>
      </c>
    </row>
    <row r="22" spans="1:4" outlineLevel="2" x14ac:dyDescent="0.55000000000000004">
      <c r="A22" s="3">
        <v>45268</v>
      </c>
      <c r="B22" t="s">
        <v>6</v>
      </c>
      <c r="C22">
        <v>261000</v>
      </c>
      <c r="D22">
        <f>IF(C22&gt;300000,C22*0.01,C22*0.02)</f>
        <v>5220</v>
      </c>
    </row>
    <row r="23" spans="1:4" outlineLevel="1" x14ac:dyDescent="0.55000000000000004">
      <c r="A23" s="3"/>
      <c r="B23" s="6" t="s">
        <v>16</v>
      </c>
      <c r="D23">
        <f>SUBTOTAL(9,D18:D22)</f>
        <v>18718</v>
      </c>
    </row>
    <row r="24" spans="1:4" outlineLevel="2" x14ac:dyDescent="0.55000000000000004">
      <c r="A24" s="3">
        <v>45217</v>
      </c>
      <c r="B24" t="s">
        <v>7</v>
      </c>
      <c r="C24">
        <v>439000</v>
      </c>
      <c r="D24">
        <f>IF(C24&gt;300000,C24*0.01,C24*0.02)</f>
        <v>4390</v>
      </c>
    </row>
    <row r="25" spans="1:4" outlineLevel="2" x14ac:dyDescent="0.55000000000000004">
      <c r="A25" s="3">
        <v>45277</v>
      </c>
      <c r="B25" t="s">
        <v>7</v>
      </c>
      <c r="C25">
        <v>89900</v>
      </c>
      <c r="D25">
        <f>IF(C25&gt;300000,C25*0.01,C25*0.02)</f>
        <v>1798</v>
      </c>
    </row>
    <row r="26" spans="1:4" outlineLevel="2" x14ac:dyDescent="0.55000000000000004">
      <c r="A26" s="3">
        <v>45281</v>
      </c>
      <c r="B26" t="s">
        <v>7</v>
      </c>
      <c r="C26">
        <v>141900</v>
      </c>
      <c r="D26">
        <f>IF(C26&gt;300000,C26*0.01,C26*0.02)</f>
        <v>2838</v>
      </c>
    </row>
    <row r="27" spans="1:4" outlineLevel="2" x14ac:dyDescent="0.55000000000000004">
      <c r="A27" s="3">
        <v>45291</v>
      </c>
      <c r="B27" t="s">
        <v>7</v>
      </c>
      <c r="C27">
        <v>635000</v>
      </c>
      <c r="D27">
        <f>IF(C27&gt;300000,C27*0.01,C27*0.02)</f>
        <v>6350</v>
      </c>
    </row>
    <row r="28" spans="1:4" outlineLevel="1" x14ac:dyDescent="0.55000000000000004">
      <c r="A28" s="3"/>
      <c r="B28" s="6" t="s">
        <v>17</v>
      </c>
      <c r="D28">
        <f>SUBTOTAL(9,D24:D27)</f>
        <v>15376</v>
      </c>
    </row>
    <row r="29" spans="1:4" outlineLevel="2" x14ac:dyDescent="0.55000000000000004">
      <c r="A29" s="3">
        <v>45248</v>
      </c>
      <c r="B29" t="s">
        <v>8</v>
      </c>
      <c r="C29">
        <v>298000</v>
      </c>
      <c r="D29">
        <f>IF(C29&gt;300000,C29*0.01,C29*0.02)</f>
        <v>5960</v>
      </c>
    </row>
    <row r="30" spans="1:4" outlineLevel="2" x14ac:dyDescent="0.55000000000000004">
      <c r="A30" s="3">
        <v>45267</v>
      </c>
      <c r="B30" t="s">
        <v>8</v>
      </c>
      <c r="C30">
        <v>207000</v>
      </c>
      <c r="D30">
        <f>IF(C30&gt;300000,C30*0.01,C30*0.02)</f>
        <v>4140</v>
      </c>
    </row>
    <row r="31" spans="1:4" outlineLevel="2" x14ac:dyDescent="0.55000000000000004">
      <c r="A31" s="3">
        <v>45277</v>
      </c>
      <c r="B31" t="s">
        <v>8</v>
      </c>
      <c r="C31">
        <v>420000</v>
      </c>
      <c r="D31">
        <f>IF(C31&gt;300000,C31*0.01,C31*0.02)</f>
        <v>4200</v>
      </c>
    </row>
    <row r="32" spans="1:4" outlineLevel="1" x14ac:dyDescent="0.55000000000000004">
      <c r="A32" s="3"/>
      <c r="B32" s="6" t="s">
        <v>18</v>
      </c>
      <c r="D32">
        <f>SUBTOTAL(9,D29:D31)</f>
        <v>14300</v>
      </c>
    </row>
    <row r="33" spans="1:4" outlineLevel="2" x14ac:dyDescent="0.55000000000000004">
      <c r="A33" s="3">
        <v>45209</v>
      </c>
      <c r="B33" t="s">
        <v>9</v>
      </c>
      <c r="C33">
        <v>395000</v>
      </c>
      <c r="D33">
        <f>IF(C33&gt;300000,C33*0.01,C33*0.02)</f>
        <v>3950</v>
      </c>
    </row>
    <row r="34" spans="1:4" outlineLevel="2" x14ac:dyDescent="0.55000000000000004">
      <c r="A34" s="3">
        <v>45241</v>
      </c>
      <c r="B34" t="s">
        <v>9</v>
      </c>
      <c r="C34">
        <v>129400</v>
      </c>
      <c r="D34">
        <f>IF(C34&gt;300000,C34*0.01,C34*0.02)</f>
        <v>2588</v>
      </c>
    </row>
    <row r="35" spans="1:4" outlineLevel="2" x14ac:dyDescent="0.55000000000000004">
      <c r="A35" s="3">
        <v>45248</v>
      </c>
      <c r="B35" t="s">
        <v>9</v>
      </c>
      <c r="C35">
        <v>364900</v>
      </c>
      <c r="D35">
        <f>IF(C35&gt;300000,C35*0.01,C35*0.02)</f>
        <v>3649</v>
      </c>
    </row>
    <row r="36" spans="1:4" outlineLevel="2" x14ac:dyDescent="0.55000000000000004">
      <c r="A36" s="3">
        <v>45269</v>
      </c>
      <c r="B36" t="s">
        <v>9</v>
      </c>
      <c r="C36">
        <v>74900</v>
      </c>
      <c r="D36">
        <f>IF(C36&gt;300000,C36*0.01,C36*0.02)</f>
        <v>1498</v>
      </c>
    </row>
    <row r="37" spans="1:4" outlineLevel="1" x14ac:dyDescent="0.55000000000000004">
      <c r="A37" s="3"/>
      <c r="B37" s="6" t="s">
        <v>19</v>
      </c>
      <c r="D37">
        <f>SUBTOTAL(9,D33:D36)</f>
        <v>11685</v>
      </c>
    </row>
    <row r="38" spans="1:4" outlineLevel="2" x14ac:dyDescent="0.55000000000000004">
      <c r="A38" s="3">
        <v>45214</v>
      </c>
      <c r="B38" t="s">
        <v>10</v>
      </c>
      <c r="C38">
        <v>299000</v>
      </c>
      <c r="D38">
        <f>IF(C38&gt;300000,C38*0.01,C38*0.02)</f>
        <v>5980</v>
      </c>
    </row>
    <row r="39" spans="1:4" outlineLevel="1" x14ac:dyDescent="0.55000000000000004">
      <c r="A39" s="3"/>
      <c r="B39" s="6" t="s">
        <v>20</v>
      </c>
      <c r="D39">
        <f>SUBTOTAL(9,D38:D38)</f>
        <v>5980</v>
      </c>
    </row>
    <row r="40" spans="1:4" outlineLevel="2" x14ac:dyDescent="0.55000000000000004">
      <c r="A40" s="3">
        <v>45242</v>
      </c>
      <c r="B40" t="s">
        <v>11</v>
      </c>
      <c r="C40">
        <v>599000</v>
      </c>
      <c r="D40">
        <f>IF(C40&gt;300000,C40*0.01,C40*0.02)</f>
        <v>5990</v>
      </c>
    </row>
    <row r="41" spans="1:4" outlineLevel="2" x14ac:dyDescent="0.55000000000000004">
      <c r="A41" s="3">
        <v>45272</v>
      </c>
      <c r="B41" t="s">
        <v>11</v>
      </c>
      <c r="C41">
        <v>289900</v>
      </c>
      <c r="D41">
        <f>IF(C41&gt;300000,C41*0.01,C41*0.02)</f>
        <v>5798</v>
      </c>
    </row>
    <row r="42" spans="1:4" outlineLevel="1" x14ac:dyDescent="0.55000000000000004">
      <c r="A42" s="3"/>
      <c r="B42" s="6" t="s">
        <v>21</v>
      </c>
      <c r="D42">
        <f>SUBTOTAL(9,D40:D41)</f>
        <v>11788</v>
      </c>
    </row>
    <row r="43" spans="1:4" x14ac:dyDescent="0.55000000000000004">
      <c r="A43" s="3"/>
      <c r="B43" s="6" t="s">
        <v>22</v>
      </c>
      <c r="D43">
        <f>SUBTOTAL(9,D2:D41)</f>
        <v>130091</v>
      </c>
    </row>
  </sheetData>
  <sortState ref="A2:D41">
    <sortCondition ref="B2:B41"/>
  </sortState>
  <pageMargins left="0.7" right="0.7" top="0.75" bottom="0.75" header="0.3" footer="0.3"/>
  <pageSetup orientation="portrait" horizontalDpi="4294967293" verticalDpi="4294967293" r:id="rId1"/>
  <headerFooter>
    <oddFooter>&amp;RMember No
Job 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D1B9-8448-4A00-A2BE-60EC9E5F2CEB}">
  <dimension ref="A1:O16"/>
  <sheetViews>
    <sheetView tabSelected="1" zoomScaleNormal="100" workbookViewId="0">
      <selection activeCell="N16" sqref="N16"/>
    </sheetView>
  </sheetViews>
  <sheetFormatPr defaultRowHeight="14.4" x14ac:dyDescent="0.55000000000000004"/>
  <cols>
    <col min="1" max="1" width="10.05078125" bestFit="1" customWidth="1"/>
    <col min="3" max="3" width="9.1015625" customWidth="1"/>
    <col min="4" max="4" width="8.62890625" customWidth="1"/>
    <col min="5" max="5" width="8.83984375" customWidth="1"/>
    <col min="6" max="6" width="8.89453125" customWidth="1"/>
    <col min="7" max="7" width="8.26171875" customWidth="1"/>
    <col min="8" max="8" width="8.578125" customWidth="1"/>
  </cols>
  <sheetData>
    <row r="1" spans="1:15" x14ac:dyDescent="0.55000000000000004">
      <c r="A1" s="6" t="s">
        <v>1</v>
      </c>
      <c r="B1" s="1"/>
      <c r="C1" s="2"/>
      <c r="D1" s="1"/>
      <c r="E1" s="1"/>
    </row>
    <row r="2" spans="1:15" x14ac:dyDescent="0.55000000000000004">
      <c r="A2" s="7" t="s">
        <v>3</v>
      </c>
      <c r="B2">
        <f>Commissions!D7</f>
        <v>21706</v>
      </c>
    </row>
    <row r="3" spans="1:15" x14ac:dyDescent="0.55000000000000004">
      <c r="A3" s="7" t="s">
        <v>4</v>
      </c>
      <c r="B3">
        <f>Commissions!D13</f>
        <v>22140</v>
      </c>
    </row>
    <row r="4" spans="1:15" x14ac:dyDescent="0.55000000000000004">
      <c r="A4" s="7" t="s">
        <v>5</v>
      </c>
      <c r="B4">
        <f>Commissions!D17</f>
        <v>8398</v>
      </c>
    </row>
    <row r="5" spans="1:15" x14ac:dyDescent="0.55000000000000004">
      <c r="A5" s="7" t="s">
        <v>6</v>
      </c>
      <c r="B5">
        <f>Commissions!D23</f>
        <v>18718</v>
      </c>
    </row>
    <row r="6" spans="1:15" x14ac:dyDescent="0.55000000000000004">
      <c r="A6" s="7" t="s">
        <v>7</v>
      </c>
      <c r="B6">
        <f>Commissions!D28</f>
        <v>15376</v>
      </c>
    </row>
    <row r="7" spans="1:15" x14ac:dyDescent="0.55000000000000004">
      <c r="A7" s="7" t="s">
        <v>8</v>
      </c>
      <c r="B7">
        <f>Commissions!D32</f>
        <v>14300</v>
      </c>
    </row>
    <row r="8" spans="1:15" x14ac:dyDescent="0.55000000000000004">
      <c r="A8" s="7" t="s">
        <v>9</v>
      </c>
      <c r="B8">
        <f>Commissions!D37</f>
        <v>11685</v>
      </c>
    </row>
    <row r="9" spans="1:15" x14ac:dyDescent="0.55000000000000004">
      <c r="A9" s="7" t="s">
        <v>10</v>
      </c>
      <c r="B9">
        <f>Commissions!D39</f>
        <v>5980</v>
      </c>
    </row>
    <row r="10" spans="1:15" x14ac:dyDescent="0.55000000000000004">
      <c r="A10" s="7" t="s">
        <v>11</v>
      </c>
      <c r="B10">
        <f>Commissions!D42</f>
        <v>11788</v>
      </c>
    </row>
    <row r="11" spans="1:15" x14ac:dyDescent="0.55000000000000004">
      <c r="M11" s="1"/>
      <c r="N11" s="1"/>
      <c r="O11" s="2"/>
    </row>
    <row r="12" spans="1:15" x14ac:dyDescent="0.55000000000000004">
      <c r="M12" s="3"/>
    </row>
    <row r="13" spans="1:15" x14ac:dyDescent="0.55000000000000004">
      <c r="M13" s="3"/>
    </row>
    <row r="14" spans="1:15" x14ac:dyDescent="0.55000000000000004">
      <c r="M14" s="3"/>
    </row>
    <row r="15" spans="1:15" x14ac:dyDescent="0.55000000000000004">
      <c r="M15" s="3"/>
    </row>
    <row r="16" spans="1:15" x14ac:dyDescent="0.55000000000000004">
      <c r="M16" s="3"/>
    </row>
  </sheetData>
  <pageMargins left="0.7" right="0.7" top="0.75" bottom="0.75" header="0.3" footer="0.3"/>
  <pageSetup orientation="portrait" horizontalDpi="4294967293" verticalDpi="4294967293" r:id="rId1"/>
  <headerFooter>
    <oddFooter>&amp;RMember No
Job 4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652C87AF-F64E-4A6C-884F-A2D555A73E72}"/>
</file>

<file path=customXml/itemProps2.xml><?xml version="1.0" encoding="utf-8"?>
<ds:datastoreItem xmlns:ds="http://schemas.openxmlformats.org/officeDocument/2006/customXml" ds:itemID="{8F5654A5-BAC8-4EE1-91AC-6472D223E67A}"/>
</file>

<file path=customXml/itemProps3.xml><?xml version="1.0" encoding="utf-8"?>
<ds:datastoreItem xmlns:ds="http://schemas.openxmlformats.org/officeDocument/2006/customXml" ds:itemID="{DC172B6E-2FB7-4F09-9B36-7F927C246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Arseneau, Ronalyn</dc:creator>
  <cp:lastModifiedBy>Arseneau, Ronalyn</cp:lastModifiedBy>
  <cp:lastPrinted>2023-01-22T18:46:12Z</cp:lastPrinted>
  <dcterms:created xsi:type="dcterms:W3CDTF">2023-01-20T14:24:06Z</dcterms:created>
  <dcterms:modified xsi:type="dcterms:W3CDTF">2023-01-22T18:49:18Z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</Properties>
</file>