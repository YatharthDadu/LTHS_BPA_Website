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"/>
    </mc:Choice>
  </mc:AlternateContent>
  <xr:revisionPtr revIDLastSave="0" documentId="13_ncr:1_{457A1249-6FC7-461D-9055-36FBD883EC2F}" xr6:coauthVersionLast="36" xr6:coauthVersionMax="36" xr10:uidLastSave="{00000000-0000-0000-0000-000000000000}"/>
  <bookViews>
    <workbookView xWindow="0" yWindow="0" windowWidth="23040" windowHeight="8778" xr2:uid="{A05195BE-BDED-480E-92F0-4AA77FC101DD}"/>
  </bookViews>
  <sheets>
    <sheet name="4th Qtr Sales" sheetId="1" r:id="rId1"/>
    <sheet name="Tour Costs" sheetId="2" r:id="rId2"/>
  </sheets>
  <definedNames>
    <definedName name="California">'4th Qtr Sales'!$F$5:$F$9</definedName>
    <definedName name="California_Beach_Escape">'4th Qtr Sales'!$F$5:$F$9</definedName>
    <definedName name="Hawaiian">'4th Qtr Sales'!$F$10:$F$15</definedName>
    <definedName name="NewYork">'4th Qtr Sales'!$F$16:$F$21</definedName>
    <definedName name="Orlando">'4th Qtr Sales'!$F$22:$F$30</definedName>
    <definedName name="Portland">'4th Qtr Sales'!$F$31:$F$35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D42" i="1"/>
  <c r="D41" i="1"/>
  <c r="D40" i="1"/>
  <c r="D39" i="1"/>
  <c r="E32" i="1"/>
  <c r="E33" i="1"/>
  <c r="E34" i="1"/>
  <c r="E35" i="1"/>
  <c r="E31" i="1"/>
  <c r="E30" i="1"/>
  <c r="E23" i="1"/>
  <c r="E24" i="1"/>
  <c r="E25" i="1"/>
  <c r="E26" i="1"/>
  <c r="E27" i="1"/>
  <c r="E28" i="1"/>
  <c r="E29" i="1"/>
  <c r="E22" i="1"/>
  <c r="E17" i="1"/>
  <c r="E18" i="1"/>
  <c r="E19" i="1"/>
  <c r="E20" i="1"/>
  <c r="E21" i="1"/>
  <c r="E16" i="1"/>
  <c r="E11" i="1"/>
  <c r="E12" i="1"/>
  <c r="E13" i="1"/>
  <c r="E14" i="1"/>
  <c r="E15" i="1"/>
  <c r="E10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<sst xmlns="http://schemas.openxmlformats.org/spreadsheetml/2006/main" count="145" uniqueCount="81">
  <si>
    <t>Portland Kayak Adventure</t>
  </si>
  <si>
    <t>Orlando Theme Park Experience</t>
  </si>
  <si>
    <t>New York City Lights</t>
  </si>
  <si>
    <t>California Beach Escape</t>
  </si>
  <si>
    <t>Hawaiian Islands Retreat</t>
  </si>
  <si>
    <t>Date</t>
  </si>
  <si>
    <t>Payment Method</t>
  </si>
  <si>
    <t>Tour Name</t>
  </si>
  <si>
    <t>Client Last Name</t>
  </si>
  <si>
    <t>Client First Name</t>
  </si>
  <si>
    <t>Smith</t>
  </si>
  <si>
    <t>Kischa</t>
  </si>
  <si>
    <t>Brady</t>
  </si>
  <si>
    <t>Monty</t>
  </si>
  <si>
    <t>Tiffany</t>
  </si>
  <si>
    <t>Morton</t>
  </si>
  <si>
    <t>Wayne</t>
  </si>
  <si>
    <t>Johnson</t>
  </si>
  <si>
    <t>Wells</t>
  </si>
  <si>
    <t>Nancy</t>
  </si>
  <si>
    <t>Chote</t>
  </si>
  <si>
    <t>Markell</t>
  </si>
  <si>
    <t>Amber</t>
  </si>
  <si>
    <t>Jonathan</t>
  </si>
  <si>
    <t>Inaya</t>
  </si>
  <si>
    <t>Amar</t>
  </si>
  <si>
    <t>Khatri</t>
  </si>
  <si>
    <t>Patel</t>
  </si>
  <si>
    <t>Zhang</t>
  </si>
  <si>
    <t>Khan</t>
  </si>
  <si>
    <t>Kai</t>
  </si>
  <si>
    <t>Wu</t>
  </si>
  <si>
    <t>Hiram</t>
  </si>
  <si>
    <t>Feng</t>
  </si>
  <si>
    <t>Lakota</t>
  </si>
  <si>
    <t>Catawnee</t>
  </si>
  <si>
    <t>Jones</t>
  </si>
  <si>
    <t>Bryan</t>
  </si>
  <si>
    <t>Garcia</t>
  </si>
  <si>
    <t>Lopez</t>
  </si>
  <si>
    <t>Rodriguez</t>
  </si>
  <si>
    <t>Miguel</t>
  </si>
  <si>
    <t>Maria</t>
  </si>
  <si>
    <t>Carlos</t>
  </si>
  <si>
    <t>Sebastian</t>
  </si>
  <si>
    <t>Alyssa</t>
  </si>
  <si>
    <t>Corbin</t>
  </si>
  <si>
    <t>Jacqueline</t>
  </si>
  <si>
    <t>Trent</t>
  </si>
  <si>
    <t>James</t>
  </si>
  <si>
    <t>Robert</t>
  </si>
  <si>
    <t>Emilee</t>
  </si>
  <si>
    <t>Sarah</t>
  </si>
  <si>
    <t>Elijah</t>
  </si>
  <si>
    <t>Jacob</t>
  </si>
  <si>
    <t>Wolf</t>
  </si>
  <si>
    <t>Hillis</t>
  </si>
  <si>
    <t>Davis</t>
  </si>
  <si>
    <t>Nguyen</t>
  </si>
  <si>
    <t>Rogers</t>
  </si>
  <si>
    <t>Morgan</t>
  </si>
  <si>
    <t>Palmer</t>
  </si>
  <si>
    <t>Walters</t>
  </si>
  <si>
    <t>Baker</t>
  </si>
  <si>
    <t>Aziz</t>
  </si>
  <si>
    <t>Nader</t>
  </si>
  <si>
    <t>Rasheed</t>
  </si>
  <si>
    <t>Williams</t>
  </si>
  <si>
    <t>Grady</t>
  </si>
  <si>
    <t>Thompsen</t>
  </si>
  <si>
    <t>Nevaeh</t>
  </si>
  <si>
    <t>Malik</t>
  </si>
  <si>
    <t>Payment Amount</t>
  </si>
  <si>
    <t>Credit Card</t>
  </si>
  <si>
    <t>Cash</t>
  </si>
  <si>
    <t>Personal Check</t>
  </si>
  <si>
    <t>Tour Sales</t>
  </si>
  <si>
    <t>4th Quarter 2023</t>
  </si>
  <si>
    <t>Tour</t>
  </si>
  <si>
    <t>Cost</t>
  </si>
  <si>
    <t>NUMBER OF TOURS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</si>
</sst>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>
      <alignment horizontal="center" wrapText="1"/>
    </xf>
  </cellStyleXfs>
  <cellXfs count="7">
    <xf numFmtId="0" fontId="0" fillId="0" borderId="0" xfId="0"/>
    <xf numFmtId="14" fontId="0" fillId="0" borderId="0" xfId="0" applyNumberFormat="1"/>
    <xf numFmtId="0" fontId="2" fillId="2" borderId="0" xfId="1" applyAlignment="1">
      <alignment horizontal="center" wrapText="1"/>
    </xf>
    <xf numFmtId="0" fontId="0" fillId="0" borderId="0" xfId="0" applyNumberFormat="1"/>
    <xf numFmtId="14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Accent6" xfId="1" builtinId="49"/>
    <cellStyle name="Normal" xfId="0" builtinId="0"/>
    <cellStyle name="Style 1" xfId="2" xr:uid="{9C828372-FECC-4ECB-B569-D86E96361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4B5-7BD8-43D0-B2EB-9028A58A9769}">
  <dimension ref="A1:F52"/>
  <sheetViews>
    <sheetView showFormulas="1" tabSelected="1" topLeftCell="A25" workbookViewId="0">
      <selection sqref="A1:F43"/>
    </sheetView>
  </sheetViews>
  <sheetFormatPr defaultRowHeight="14.4" x14ac:dyDescent="0.55000000000000004"/>
  <cols>
    <col min="1" max="1" width="10.15625" bestFit="1" customWidth="1"/>
    <col min="2" max="3" width="8.9453125" bestFit="1" customWidth="1"/>
    <col min="4" max="4" width="12.62890625" bestFit="1" customWidth="1"/>
    <col min="5" max="5" width="7.68359375" customWidth="1"/>
    <col min="6" max="6" width="26.1015625" bestFit="1" customWidth="1"/>
  </cols>
  <sheetData>
    <row r="1" spans="1:6" ht="18.3" x14ac:dyDescent="0.7">
      <c r="A1" s="5" t="s">
        <v>76</v>
      </c>
      <c r="B1" s="5"/>
      <c r="C1" s="5"/>
      <c r="D1" s="5"/>
      <c r="E1" s="5"/>
      <c r="F1" s="5"/>
    </row>
    <row r="2" spans="1:6" ht="16.8" x14ac:dyDescent="0.65">
      <c r="A2" s="6" t="s">
        <v>77</v>
      </c>
      <c r="B2" s="6"/>
      <c r="C2" s="6"/>
      <c r="D2" s="6"/>
      <c r="E2" s="6"/>
      <c r="F2" s="6"/>
    </row>
    <row r="4" spans="1:6" ht="28.8" x14ac:dyDescent="0.55000000000000004">
      <c r="A4" s="2" t="s">
        <v>5</v>
      </c>
      <c r="B4" s="2" t="s">
        <v>8</v>
      </c>
      <c r="C4" s="2" t="s">
        <v>9</v>
      </c>
      <c r="D4" s="2" t="s">
        <v>6</v>
      </c>
      <c r="E4" s="2" t="s">
        <v>72</v>
      </c>
      <c r="F4" s="2" t="s">
        <v>7</v>
      </c>
    </row>
    <row r="5" spans="1:6" x14ac:dyDescent="0.55000000000000004">
      <c r="A5" s="1">
        <v>45231</v>
      </c>
      <c r="B5" t="s">
        <v>35</v>
      </c>
      <c r="C5" t="s">
        <v>34</v>
      </c>
      <c r="D5" t="s">
        <v>73</v>
      </c>
      <c r="E5">
        <f>'Tour Costs'!$B$3</f>
        <v>4875</v>
      </c>
      <c r="F5" t="s">
        <v>3</v>
      </c>
    </row>
    <row r="6" spans="1:6" x14ac:dyDescent="0.55000000000000004">
      <c r="A6" s="1">
        <v>45229</v>
      </c>
      <c r="B6" t="s">
        <v>36</v>
      </c>
      <c r="C6" t="s">
        <v>37</v>
      </c>
      <c r="D6" t="s">
        <v>73</v>
      </c>
      <c r="E6">
        <f>'Tour Costs'!$B$3</f>
        <v>4875</v>
      </c>
      <c r="F6" t="s">
        <v>3</v>
      </c>
    </row>
    <row r="7" spans="1:6" x14ac:dyDescent="0.55000000000000004">
      <c r="A7" s="1">
        <v>45243</v>
      </c>
      <c r="B7" t="s">
        <v>40</v>
      </c>
      <c r="C7" t="s">
        <v>41</v>
      </c>
      <c r="D7" t="s">
        <v>73</v>
      </c>
      <c r="E7">
        <f>'Tour Costs'!$B$3</f>
        <v>4875</v>
      </c>
      <c r="F7" t="s">
        <v>3</v>
      </c>
    </row>
    <row r="8" spans="1:6" x14ac:dyDescent="0.55000000000000004">
      <c r="A8" s="1">
        <v>45291</v>
      </c>
      <c r="B8" t="s">
        <v>69</v>
      </c>
      <c r="C8" t="s">
        <v>71</v>
      </c>
      <c r="D8" t="s">
        <v>73</v>
      </c>
      <c r="E8">
        <f>'Tour Costs'!$B$3</f>
        <v>4875</v>
      </c>
      <c r="F8" t="s">
        <v>3</v>
      </c>
    </row>
    <row r="9" spans="1:6" x14ac:dyDescent="0.55000000000000004">
      <c r="A9" s="1">
        <v>45250</v>
      </c>
      <c r="B9" t="s">
        <v>31</v>
      </c>
      <c r="C9" t="s">
        <v>33</v>
      </c>
      <c r="D9" t="s">
        <v>73</v>
      </c>
      <c r="E9">
        <f>'Tour Costs'!$B$3</f>
        <v>4875</v>
      </c>
      <c r="F9" t="s">
        <v>3</v>
      </c>
    </row>
    <row r="10" spans="1:6" x14ac:dyDescent="0.55000000000000004">
      <c r="A10" s="1">
        <v>45287</v>
      </c>
      <c r="B10" t="s">
        <v>68</v>
      </c>
      <c r="C10" t="s">
        <v>53</v>
      </c>
      <c r="D10" t="s">
        <v>75</v>
      </c>
      <c r="E10">
        <f>'Tour Costs'!$B$4</f>
        <v>6550</v>
      </c>
      <c r="F10" t="s">
        <v>4</v>
      </c>
    </row>
    <row r="11" spans="1:6" x14ac:dyDescent="0.55000000000000004">
      <c r="A11" s="1">
        <v>45261</v>
      </c>
      <c r="B11" t="s">
        <v>39</v>
      </c>
      <c r="C11" t="s">
        <v>42</v>
      </c>
      <c r="D11" t="s">
        <v>73</v>
      </c>
      <c r="E11">
        <f>'Tour Costs'!$B$4</f>
        <v>6550</v>
      </c>
      <c r="F11" t="s">
        <v>4</v>
      </c>
    </row>
    <row r="12" spans="1:6" x14ac:dyDescent="0.55000000000000004">
      <c r="A12" s="1">
        <v>45275</v>
      </c>
      <c r="B12" t="s">
        <v>60</v>
      </c>
      <c r="C12" t="s">
        <v>48</v>
      </c>
      <c r="D12" t="s">
        <v>73</v>
      </c>
      <c r="E12">
        <f>'Tour Costs'!$B$4</f>
        <v>6550</v>
      </c>
      <c r="F12" t="s">
        <v>4</v>
      </c>
    </row>
    <row r="13" spans="1:6" x14ac:dyDescent="0.55000000000000004">
      <c r="A13" s="1">
        <v>45245</v>
      </c>
      <c r="B13" t="s">
        <v>61</v>
      </c>
      <c r="C13" t="s">
        <v>46</v>
      </c>
      <c r="D13" t="s">
        <v>73</v>
      </c>
      <c r="E13">
        <f>'Tour Costs'!$B$4</f>
        <v>6550</v>
      </c>
      <c r="F13" t="s">
        <v>4</v>
      </c>
    </row>
    <row r="14" spans="1:6" x14ac:dyDescent="0.55000000000000004">
      <c r="A14" s="1">
        <v>45282</v>
      </c>
      <c r="B14" t="s">
        <v>67</v>
      </c>
      <c r="C14" t="s">
        <v>70</v>
      </c>
      <c r="D14" t="s">
        <v>73</v>
      </c>
      <c r="E14">
        <f>'Tour Costs'!$B$4</f>
        <v>6550</v>
      </c>
      <c r="F14" t="s">
        <v>4</v>
      </c>
    </row>
    <row r="15" spans="1:6" x14ac:dyDescent="0.55000000000000004">
      <c r="A15" s="1">
        <v>45227</v>
      </c>
      <c r="B15" t="s">
        <v>28</v>
      </c>
      <c r="C15" t="s">
        <v>30</v>
      </c>
      <c r="D15" t="s">
        <v>73</v>
      </c>
      <c r="E15">
        <f>'Tour Costs'!$B$4</f>
        <v>6550</v>
      </c>
      <c r="F15" t="s">
        <v>4</v>
      </c>
    </row>
    <row r="16" spans="1:6" x14ac:dyDescent="0.55000000000000004">
      <c r="A16" s="1">
        <v>45254</v>
      </c>
      <c r="B16" t="s">
        <v>64</v>
      </c>
      <c r="C16" t="s">
        <v>50</v>
      </c>
      <c r="D16" t="s">
        <v>73</v>
      </c>
      <c r="E16">
        <f>'Tour Costs'!$B$5</f>
        <v>4495</v>
      </c>
      <c r="F16" t="s">
        <v>2</v>
      </c>
    </row>
    <row r="17" spans="1:6" x14ac:dyDescent="0.55000000000000004">
      <c r="A17" s="1">
        <v>45218</v>
      </c>
      <c r="B17" t="s">
        <v>20</v>
      </c>
      <c r="C17" t="s">
        <v>23</v>
      </c>
      <c r="D17" t="s">
        <v>73</v>
      </c>
      <c r="E17">
        <f>'Tour Costs'!$B$5</f>
        <v>4495</v>
      </c>
      <c r="F17" t="s">
        <v>2</v>
      </c>
    </row>
    <row r="18" spans="1:6" x14ac:dyDescent="0.55000000000000004">
      <c r="A18" s="1">
        <v>45281</v>
      </c>
      <c r="B18" t="s">
        <v>38</v>
      </c>
      <c r="C18" t="s">
        <v>43</v>
      </c>
      <c r="D18" t="s">
        <v>73</v>
      </c>
      <c r="E18">
        <f>'Tour Costs'!$B$5</f>
        <v>4495</v>
      </c>
      <c r="F18" t="s">
        <v>2</v>
      </c>
    </row>
    <row r="19" spans="1:6" x14ac:dyDescent="0.55000000000000004">
      <c r="A19" s="1">
        <v>45270</v>
      </c>
      <c r="B19" t="s">
        <v>29</v>
      </c>
      <c r="C19" t="s">
        <v>32</v>
      </c>
      <c r="D19" t="s">
        <v>73</v>
      </c>
      <c r="E19">
        <f>'Tour Costs'!$B$5</f>
        <v>4495</v>
      </c>
      <c r="F19" t="s">
        <v>2</v>
      </c>
    </row>
    <row r="20" spans="1:6" x14ac:dyDescent="0.55000000000000004">
      <c r="A20" s="1">
        <v>45209</v>
      </c>
      <c r="B20" t="s">
        <v>15</v>
      </c>
      <c r="C20" t="s">
        <v>14</v>
      </c>
      <c r="D20" t="s">
        <v>73</v>
      </c>
      <c r="E20">
        <f>'Tour Costs'!$B$5</f>
        <v>4495</v>
      </c>
      <c r="F20" t="s">
        <v>2</v>
      </c>
    </row>
    <row r="21" spans="1:6" x14ac:dyDescent="0.55000000000000004">
      <c r="A21" s="1">
        <v>45234</v>
      </c>
      <c r="B21" t="s">
        <v>55</v>
      </c>
      <c r="C21" t="s">
        <v>44</v>
      </c>
      <c r="D21" t="s">
        <v>73</v>
      </c>
      <c r="E21">
        <f>'Tour Costs'!$B$5</f>
        <v>4495</v>
      </c>
      <c r="F21" t="s">
        <v>2</v>
      </c>
    </row>
    <row r="22" spans="1:6" x14ac:dyDescent="0.55000000000000004">
      <c r="A22" s="1">
        <v>45267</v>
      </c>
      <c r="B22" t="s">
        <v>63</v>
      </c>
      <c r="C22" t="s">
        <v>47</v>
      </c>
      <c r="D22" t="s">
        <v>73</v>
      </c>
      <c r="E22">
        <f>'Tour Costs'!$B$6</f>
        <v>3960</v>
      </c>
      <c r="F22" t="s">
        <v>1</v>
      </c>
    </row>
    <row r="23" spans="1:6" x14ac:dyDescent="0.55000000000000004">
      <c r="A23" s="1">
        <v>45240</v>
      </c>
      <c r="B23" t="s">
        <v>57</v>
      </c>
      <c r="C23" t="s">
        <v>49</v>
      </c>
      <c r="D23" t="s">
        <v>73</v>
      </c>
      <c r="E23">
        <f>'Tour Costs'!$B$6</f>
        <v>3960</v>
      </c>
      <c r="F23" t="s">
        <v>1</v>
      </c>
    </row>
    <row r="24" spans="1:6" x14ac:dyDescent="0.55000000000000004">
      <c r="A24" s="1">
        <v>45219</v>
      </c>
      <c r="B24" t="s">
        <v>21</v>
      </c>
      <c r="C24" t="s">
        <v>22</v>
      </c>
      <c r="D24" t="s">
        <v>74</v>
      </c>
      <c r="E24">
        <f>'Tour Costs'!$B$6</f>
        <v>3960</v>
      </c>
      <c r="F24" t="s">
        <v>1</v>
      </c>
    </row>
    <row r="25" spans="1:6" x14ac:dyDescent="0.55000000000000004">
      <c r="A25" s="1">
        <v>45276</v>
      </c>
      <c r="B25" t="s">
        <v>58</v>
      </c>
      <c r="C25" t="s">
        <v>51</v>
      </c>
      <c r="D25" t="s">
        <v>73</v>
      </c>
      <c r="E25">
        <f>'Tour Costs'!$B$6</f>
        <v>3960</v>
      </c>
      <c r="F25" t="s">
        <v>1</v>
      </c>
    </row>
    <row r="26" spans="1:6" x14ac:dyDescent="0.55000000000000004">
      <c r="A26" s="1">
        <v>45220</v>
      </c>
      <c r="B26" t="s">
        <v>27</v>
      </c>
      <c r="C26" t="s">
        <v>24</v>
      </c>
      <c r="D26" t="s">
        <v>73</v>
      </c>
      <c r="E26">
        <f>'Tour Costs'!$B$6</f>
        <v>3960</v>
      </c>
      <c r="F26" t="s">
        <v>1</v>
      </c>
    </row>
    <row r="27" spans="1:6" x14ac:dyDescent="0.55000000000000004">
      <c r="A27" s="1">
        <v>45278</v>
      </c>
      <c r="B27" t="s">
        <v>59</v>
      </c>
      <c r="C27" t="s">
        <v>52</v>
      </c>
      <c r="D27" t="s">
        <v>74</v>
      </c>
      <c r="E27">
        <f>'Tour Costs'!$B$6</f>
        <v>3960</v>
      </c>
      <c r="F27" t="s">
        <v>1</v>
      </c>
    </row>
    <row r="28" spans="1:6" x14ac:dyDescent="0.55000000000000004">
      <c r="A28" s="1">
        <v>45202</v>
      </c>
      <c r="B28" t="s">
        <v>10</v>
      </c>
      <c r="C28" t="s">
        <v>11</v>
      </c>
      <c r="D28" t="s">
        <v>73</v>
      </c>
      <c r="E28">
        <f>'Tour Costs'!$B$6</f>
        <v>3960</v>
      </c>
      <c r="F28" t="s">
        <v>1</v>
      </c>
    </row>
    <row r="29" spans="1:6" x14ac:dyDescent="0.55000000000000004">
      <c r="A29" s="1">
        <v>45248</v>
      </c>
      <c r="B29" t="s">
        <v>62</v>
      </c>
      <c r="C29" t="s">
        <v>54</v>
      </c>
      <c r="D29" t="s">
        <v>73</v>
      </c>
      <c r="E29">
        <f>'Tour Costs'!$B$6</f>
        <v>3960</v>
      </c>
      <c r="F29" t="s">
        <v>1</v>
      </c>
    </row>
    <row r="30" spans="1:6" x14ac:dyDescent="0.55000000000000004">
      <c r="A30" s="1">
        <v>45214</v>
      </c>
      <c r="B30" t="s">
        <v>18</v>
      </c>
      <c r="C30" t="s">
        <v>19</v>
      </c>
      <c r="D30" t="s">
        <v>73</v>
      </c>
      <c r="E30">
        <f>'Tour Costs'!$B$6</f>
        <v>3960</v>
      </c>
      <c r="F30" t="s">
        <v>1</v>
      </c>
    </row>
    <row r="31" spans="1:6" x14ac:dyDescent="0.55000000000000004">
      <c r="A31" s="1">
        <v>45204</v>
      </c>
      <c r="B31" t="s">
        <v>12</v>
      </c>
      <c r="C31" t="s">
        <v>13</v>
      </c>
      <c r="D31" t="s">
        <v>73</v>
      </c>
      <c r="E31">
        <f>'Tour Costs'!$B$7</f>
        <v>3125</v>
      </c>
      <c r="F31" t="s">
        <v>0</v>
      </c>
    </row>
    <row r="32" spans="1:6" x14ac:dyDescent="0.55000000000000004">
      <c r="A32" s="1">
        <v>45238</v>
      </c>
      <c r="B32" t="s">
        <v>56</v>
      </c>
      <c r="C32" t="s">
        <v>45</v>
      </c>
      <c r="D32" t="s">
        <v>75</v>
      </c>
      <c r="E32">
        <f>'Tour Costs'!$B$7</f>
        <v>3125</v>
      </c>
      <c r="F32" t="s">
        <v>0</v>
      </c>
    </row>
    <row r="33" spans="1:6" x14ac:dyDescent="0.55000000000000004">
      <c r="A33" s="1">
        <v>45212</v>
      </c>
      <c r="B33" t="s">
        <v>17</v>
      </c>
      <c r="C33" t="s">
        <v>16</v>
      </c>
      <c r="D33" t="s">
        <v>73</v>
      </c>
      <c r="E33">
        <f>'Tour Costs'!$B$7</f>
        <v>3125</v>
      </c>
      <c r="F33" t="s">
        <v>0</v>
      </c>
    </row>
    <row r="34" spans="1:6" x14ac:dyDescent="0.55000000000000004">
      <c r="A34" s="1">
        <v>45237</v>
      </c>
      <c r="B34" t="s">
        <v>26</v>
      </c>
      <c r="C34" t="s">
        <v>25</v>
      </c>
      <c r="D34" t="s">
        <v>73</v>
      </c>
      <c r="E34">
        <f>'Tour Costs'!$B$7</f>
        <v>3125</v>
      </c>
      <c r="F34" t="s">
        <v>0</v>
      </c>
    </row>
    <row r="35" spans="1:6" x14ac:dyDescent="0.55000000000000004">
      <c r="A35" s="1">
        <v>45273</v>
      </c>
      <c r="B35" t="s">
        <v>65</v>
      </c>
      <c r="C35" t="s">
        <v>66</v>
      </c>
      <c r="D35" t="s">
        <v>73</v>
      </c>
      <c r="E35">
        <f>'Tour Costs'!$B$7</f>
        <v>3125</v>
      </c>
      <c r="F35" t="s">
        <v>0</v>
      </c>
    </row>
    <row r="36" spans="1:6" x14ac:dyDescent="0.55000000000000004">
      <c r="A36" s="1"/>
    </row>
    <row r="37" spans="1:6" x14ac:dyDescent="0.55000000000000004">
      <c r="A37" s="1"/>
    </row>
    <row r="38" spans="1:6" x14ac:dyDescent="0.55000000000000004">
      <c r="A38" s="4" t="s">
        <v>80</v>
      </c>
    </row>
    <row r="39" spans="1:6" x14ac:dyDescent="0.55000000000000004">
      <c r="A39" s="3" t="s">
        <v>3</v>
      </c>
      <c r="D39">
        <f>COUNTA(California)</f>
        <v>5</v>
      </c>
    </row>
    <row r="40" spans="1:6" x14ac:dyDescent="0.55000000000000004">
      <c r="A40" s="1" t="s">
        <v>4</v>
      </c>
      <c r="D40">
        <f>COUNTA(Hawaiian)</f>
        <v>6</v>
      </c>
    </row>
    <row r="41" spans="1:6" x14ac:dyDescent="0.55000000000000004">
      <c r="A41" s="1" t="s">
        <v>2</v>
      </c>
      <c r="D41">
        <f>COUNTA(NewYork)</f>
        <v>6</v>
      </c>
    </row>
    <row r="42" spans="1:6" x14ac:dyDescent="0.55000000000000004">
      <c r="A42" s="1" t="s">
        <v>1</v>
      </c>
      <c r="D42">
        <f>COUNTA(Orlando)</f>
        <v>9</v>
      </c>
    </row>
    <row r="43" spans="1:6" x14ac:dyDescent="0.55000000000000004">
      <c r="A43" s="1" t="s">
        <v>0</v>
      </c>
      <c r="D43">
        <f>COUNTA(Portland)</f>
        <v>5</v>
      </c>
    </row>
    <row r="44" spans="1:6" x14ac:dyDescent="0.55000000000000004">
      <c r="A44" s="1"/>
    </row>
    <row r="45" spans="1:6" x14ac:dyDescent="0.55000000000000004">
      <c r="A45" s="1"/>
    </row>
    <row r="46" spans="1:6" x14ac:dyDescent="0.55000000000000004">
      <c r="A46" s="1"/>
    </row>
    <row r="47" spans="1:6" x14ac:dyDescent="0.55000000000000004">
      <c r="A47" s="1"/>
    </row>
    <row r="48" spans="1:6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</sheetData>
  <sortState ref="A5:F35">
    <sortCondition ref="F5:F35"/>
    <sortCondition ref="B5:B35"/>
  </sortState>
  <mergeCells count="2">
    <mergeCell ref="A1:F1"/>
    <mergeCell ref="A2:F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0FA-AC07-4964-95DB-7AFFB585BBE9}">
  <dimension ref="A1:B7"/>
  <sheetViews>
    <sheetView workbookViewId="0">
      <selection activeCell="B3" sqref="B3"/>
    </sheetView>
  </sheetViews>
  <sheetFormatPr defaultRowHeight="14.4" x14ac:dyDescent="0.55000000000000004"/>
  <cols>
    <col min="1" max="1" width="26.1015625" bestFit="1" customWidth="1"/>
  </cols>
  <sheetData>
    <row r="1" spans="1:2" x14ac:dyDescent="0.55000000000000004">
      <c r="A1" t="s">
        <v>78</v>
      </c>
      <c r="B1" t="s">
        <v>79</v>
      </c>
    </row>
    <row r="3" spans="1:2" x14ac:dyDescent="0.55000000000000004">
      <c r="A3" t="s">
        <v>3</v>
      </c>
      <c r="B3">
        <v>4875</v>
      </c>
    </row>
    <row r="4" spans="1:2" x14ac:dyDescent="0.55000000000000004">
      <c r="A4" t="s">
        <v>4</v>
      </c>
      <c r="B4">
        <v>6550</v>
      </c>
    </row>
    <row r="5" spans="1:2" x14ac:dyDescent="0.55000000000000004">
      <c r="A5" t="s">
        <v>2</v>
      </c>
      <c r="B5">
        <v>4495</v>
      </c>
    </row>
    <row r="6" spans="1:2" x14ac:dyDescent="0.55000000000000004">
      <c r="A6" t="s">
        <v>1</v>
      </c>
      <c r="B6">
        <v>3960</v>
      </c>
    </row>
    <row r="7" spans="1:2" x14ac:dyDescent="0.55000000000000004">
      <c r="A7" t="s">
        <v>0</v>
      </c>
      <c r="B7">
        <v>3125</v>
      </c>
    </row>
  </sheetData>
  <sortState ref="A3:B7">
    <sortCondition ref="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3EB98273-E19A-49A1-9DDA-82C245F888D9}"/>
</file>

<file path=customXml/itemProps2.xml><?xml version="1.0" encoding="utf-8"?>
<ds:datastoreItem xmlns:ds="http://schemas.openxmlformats.org/officeDocument/2006/customXml" ds:itemID="{6A8E5740-FAA0-498D-9D59-1880FF8348E6}"/>
</file>

<file path=customXml/itemProps3.xml><?xml version="1.0" encoding="utf-8"?>
<ds:datastoreItem xmlns:ds="http://schemas.openxmlformats.org/officeDocument/2006/customXml" ds:itemID="{EC4064AA-E4F7-467C-8F17-77E81E28F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4th Qtr Sales</vt:lpstr>
      <vt:lpstr>Tour Costs</vt:lpstr>
      <vt:lpstr>California</vt:lpstr>
      <vt:lpstr>California_Beach_Escape</vt:lpstr>
      <vt:lpstr>Hawaiian</vt:lpstr>
      <vt:lpstr>NewYork</vt:lpstr>
      <vt:lpstr>Orlando</vt:lpstr>
      <vt:lpstr>Portland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cp:lastPrinted>2023-01-10T19:10:38Z</cp:lastPrinted>
  <dcterms:created xsi:type="dcterms:W3CDTF">2023-01-10T15:42:03Z</dcterms:created>
  <dcterms:modified xsi:type="dcterms:W3CDTF">2023-01-10T21:31:32Z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