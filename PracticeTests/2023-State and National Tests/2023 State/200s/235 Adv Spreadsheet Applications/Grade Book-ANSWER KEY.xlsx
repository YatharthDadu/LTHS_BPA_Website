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10"/>
  <workbookPr/>
  <mc:AlternateContent xmlns:mc="http://schemas.openxmlformats.org/markup-compatibility/2006">
    <mc:Choice Requires="x15">
      <x15ac:absPath xmlns:x15ac="http://schemas.microsoft.com/office/spreadsheetml/2010/11/ac" url="C:\Users\lbryant\Desktop\Advanced Spreadsheet\State\"/>
    </mc:Choice>
  </mc:AlternateContent>
  <xr:revisionPtr revIDLastSave="2" documentId="13_ncr:1_{7A4BD374-8580-413E-9965-6ACA890866E8}" xr6:coauthVersionLast="47" xr6:coauthVersionMax="47" xr10:uidLastSave="{790DC803-4F0A-4166-89F3-BAB85C701E85}"/>
  <bookViews>
    <workbookView xWindow="0" yWindow="0" windowWidth="21570" windowHeight="7980" firstSheet="3" activeTab="2" xr2:uid="{00000000-000D-0000-FFFF-FFFF00000000}"/>
  </bookViews>
  <sheets>
    <sheet name="Block 1" sheetId="1" r:id="rId1"/>
    <sheet name="Block 2" sheetId="3" r:id="rId2"/>
    <sheet name="Block 3" sheetId="2" r:id="rId3"/>
    <sheet name="Final Grad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4" l="1"/>
  <c r="A3" i="4"/>
  <c r="A12" i="4"/>
  <c r="B12" i="4"/>
  <c r="A13" i="4"/>
  <c r="B13" i="4"/>
  <c r="A4" i="4"/>
  <c r="B4" i="4"/>
  <c r="A5" i="4"/>
  <c r="B5" i="4"/>
  <c r="A6" i="4"/>
  <c r="B6" i="4"/>
  <c r="A7" i="4"/>
  <c r="B7" i="4"/>
  <c r="A8" i="4"/>
  <c r="B8" i="4"/>
  <c r="A9" i="4"/>
  <c r="B9" i="4"/>
  <c r="A10" i="4"/>
  <c r="B10" i="4"/>
  <c r="A11" i="4"/>
  <c r="B11" i="4"/>
  <c r="B3" i="4"/>
  <c r="D15" i="3"/>
  <c r="E15" i="3"/>
  <c r="F15" i="3"/>
  <c r="G15" i="3"/>
  <c r="D16" i="3"/>
  <c r="E16" i="3"/>
  <c r="F16" i="3"/>
  <c r="G16" i="3"/>
  <c r="D17" i="3"/>
  <c r="E17" i="3"/>
  <c r="F17" i="3"/>
  <c r="G17" i="3"/>
  <c r="D15" i="2"/>
  <c r="E15" i="2"/>
  <c r="F15" i="2"/>
  <c r="G15" i="2"/>
  <c r="D16" i="2"/>
  <c r="E16" i="2"/>
  <c r="F16" i="2"/>
  <c r="G16" i="2"/>
  <c r="D17" i="2"/>
  <c r="E17" i="2"/>
  <c r="F17" i="2"/>
  <c r="G17" i="2"/>
  <c r="D15" i="1"/>
  <c r="E15" i="1"/>
  <c r="F15" i="1"/>
  <c r="G15" i="1"/>
  <c r="D16" i="1"/>
  <c r="E16" i="1"/>
  <c r="F16" i="1"/>
  <c r="G16" i="1"/>
  <c r="D17" i="1"/>
  <c r="E17" i="1"/>
  <c r="F17" i="1"/>
  <c r="G17" i="1"/>
  <c r="C17" i="3"/>
  <c r="C17" i="2"/>
  <c r="C17" i="1"/>
  <c r="C16" i="3"/>
  <c r="C16" i="2"/>
  <c r="C16" i="1"/>
  <c r="C15" i="3"/>
  <c r="C15" i="2"/>
  <c r="C15" i="1"/>
  <c r="H5" i="3"/>
  <c r="D4" i="4" s="1"/>
  <c r="H6" i="3"/>
  <c r="D5" i="4" s="1"/>
  <c r="H7" i="3"/>
  <c r="D6" i="4" s="1"/>
  <c r="H8" i="3"/>
  <c r="D7" i="4" s="1"/>
  <c r="H9" i="3"/>
  <c r="D8" i="4" s="1"/>
  <c r="H10" i="3"/>
  <c r="D9" i="4" s="1"/>
  <c r="H11" i="3"/>
  <c r="D10" i="4" s="1"/>
  <c r="H12" i="3"/>
  <c r="D11" i="4" s="1"/>
  <c r="H13" i="3"/>
  <c r="D12" i="4" s="1"/>
  <c r="H14" i="3"/>
  <c r="D13" i="4" s="1"/>
  <c r="H5" i="2"/>
  <c r="E4" i="4" s="1"/>
  <c r="H6" i="2"/>
  <c r="E5" i="4" s="1"/>
  <c r="H7" i="2"/>
  <c r="E6" i="4" s="1"/>
  <c r="H8" i="2"/>
  <c r="E7" i="4" s="1"/>
  <c r="H9" i="2"/>
  <c r="E8" i="4" s="1"/>
  <c r="H10" i="2"/>
  <c r="E9" i="4" s="1"/>
  <c r="H11" i="2"/>
  <c r="E10" i="4" s="1"/>
  <c r="H12" i="2"/>
  <c r="E11" i="4" s="1"/>
  <c r="H13" i="2"/>
  <c r="E12" i="4" s="1"/>
  <c r="H14" i="2"/>
  <c r="E13" i="4" s="1"/>
  <c r="H5" i="1"/>
  <c r="C4" i="4" s="1"/>
  <c r="H6" i="1"/>
  <c r="C5" i="4" s="1"/>
  <c r="H7" i="1"/>
  <c r="C6" i="4" s="1"/>
  <c r="H8" i="1"/>
  <c r="C7" i="4" s="1"/>
  <c r="H9" i="1"/>
  <c r="C8" i="4" s="1"/>
  <c r="H10" i="1"/>
  <c r="C9" i="4" s="1"/>
  <c r="H11" i="1"/>
  <c r="C10" i="4" s="1"/>
  <c r="H12" i="1"/>
  <c r="C11" i="4" s="1"/>
  <c r="H13" i="1"/>
  <c r="C12" i="4" s="1"/>
  <c r="H14" i="1"/>
  <c r="C13" i="4" s="1"/>
  <c r="H4" i="3"/>
  <c r="H4" i="2"/>
  <c r="H4" i="1"/>
  <c r="H15" i="1" l="1"/>
  <c r="H16" i="1"/>
  <c r="H17" i="1"/>
  <c r="E3" i="4"/>
  <c r="H15" i="2"/>
  <c r="H16" i="2"/>
  <c r="H17" i="2"/>
  <c r="D3" i="4"/>
  <c r="H15" i="3"/>
  <c r="H16" i="3"/>
  <c r="H17" i="3"/>
</calcChain>
</file>

<file path=xl/sharedStrings.xml><?xml version="1.0" encoding="utf-8"?>
<sst xmlns="http://schemas.openxmlformats.org/spreadsheetml/2006/main" count="111" uniqueCount="41">
  <si>
    <t>Grade Book</t>
  </si>
  <si>
    <t>Course: Introduction to Business</t>
  </si>
  <si>
    <t>Last Name</t>
  </si>
  <si>
    <t>First Name</t>
  </si>
  <si>
    <t>Quiz 1</t>
  </si>
  <si>
    <t>Quiz 2</t>
  </si>
  <si>
    <t>Quiz 3</t>
  </si>
  <si>
    <t>Project</t>
  </si>
  <si>
    <t>Final Exam</t>
  </si>
  <si>
    <t>Grade</t>
  </si>
  <si>
    <t>McFall</t>
  </si>
  <si>
    <t>Aaron</t>
  </si>
  <si>
    <t>Smith</t>
  </si>
  <si>
    <t>John</t>
  </si>
  <si>
    <t>Herp</t>
  </si>
  <si>
    <t>Chad</t>
  </si>
  <si>
    <t>Anderson</t>
  </si>
  <si>
    <t>Shelly</t>
  </si>
  <si>
    <t>Chopra</t>
  </si>
  <si>
    <t>Rachel</t>
  </si>
  <si>
    <t>Davison</t>
  </si>
  <si>
    <t>Eric</t>
  </si>
  <si>
    <t>Hensley</t>
  </si>
  <si>
    <t>Kari</t>
  </si>
  <si>
    <t>Long</t>
  </si>
  <si>
    <t>Michal</t>
  </si>
  <si>
    <t>Paschke</t>
  </si>
  <si>
    <t>Dorena</t>
  </si>
  <si>
    <t>Wang</t>
  </si>
  <si>
    <t>Tony</t>
  </si>
  <si>
    <t>Ribaute</t>
  </si>
  <si>
    <t>Delphine</t>
  </si>
  <si>
    <t>Average</t>
  </si>
  <si>
    <t>Min</t>
  </si>
  <si>
    <t>Max</t>
  </si>
  <si>
    <t>Course: Marketing</t>
  </si>
  <si>
    <t>Course: Entrepreneurship</t>
  </si>
  <si>
    <t>FINAL GRADES</t>
  </si>
  <si>
    <t>Business</t>
  </si>
  <si>
    <t>Marketing</t>
  </si>
  <si>
    <t>Entrepreneurship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</si>
</sst>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medium">
        <color indexed="64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9" fontId="5" fillId="0" borderId="0" applyFont="0" applyFill="0" applyBorder="0" applyAlignment="0" applyProtection="0"/>
  </cellStyleXfs>
  <cellXfs count="16">
    <xf numFmtId="0" fontId="0" fillId="0" borderId="0" xfId="0"/>
    <xf numFmtId="0" fontId="0" fillId="0" borderId="2" xfId="0" applyBorder="1"/>
    <xf numFmtId="0" fontId="4" fillId="2" borderId="0" xfId="2"/>
    <xf numFmtId="0" fontId="3" fillId="0" borderId="0" xfId="0" applyFont="1" applyAlignment="1">
      <alignment horizontal="center"/>
    </xf>
    <xf numFmtId="0" fontId="2" fillId="2" borderId="0" xfId="2" applyFont="1"/>
    <xf numFmtId="0" fontId="3" fillId="5" borderId="2" xfId="0" applyFont="1" applyFill="1" applyBorder="1"/>
    <xf numFmtId="0" fontId="3" fillId="5" borderId="0" xfId="0" applyFont="1" applyFill="1"/>
    <xf numFmtId="0" fontId="4" fillId="3" borderId="0" xfId="3"/>
    <xf numFmtId="0" fontId="4" fillId="4" borderId="0" xfId="4"/>
    <xf numFmtId="0" fontId="2" fillId="4" borderId="0" xfId="4" applyFont="1"/>
    <xf numFmtId="0" fontId="2" fillId="3" borderId="0" xfId="3" applyFont="1"/>
    <xf numFmtId="1" fontId="0" fillId="5" borderId="2" xfId="0" applyNumberFormat="1" applyFill="1" applyBorder="1"/>
    <xf numFmtId="1" fontId="0" fillId="5" borderId="0" xfId="0" applyNumberFormat="1" applyFill="1"/>
    <xf numFmtId="9" fontId="0" fillId="0" borderId="0" xfId="5" applyFont="1"/>
    <xf numFmtId="0" fontId="1" fillId="0" borderId="1" xfId="1" applyBorder="1" applyAlignment="1">
      <alignment horizontal="center"/>
    </xf>
    <xf numFmtId="0" fontId="1" fillId="0" borderId="0" xfId="1" applyAlignment="1">
      <alignment horizontal="center"/>
    </xf>
  </cellXfs>
  <cellStyles count="6">
    <cellStyle name="Accent1" xfId="2" builtinId="29"/>
    <cellStyle name="Accent3" xfId="3" builtinId="37"/>
    <cellStyle name="Accent6" xfId="4" builtinId="49"/>
    <cellStyle name="Normal" xfId="0" builtinId="0"/>
    <cellStyle name="Percent" xfId="5" builtinId="5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zoomScaleNormal="100" workbookViewId="0">
      <selection activeCell="O4" sqref="O4"/>
    </sheetView>
  </sheetViews>
  <sheetFormatPr defaultColWidth="7.42578125" defaultRowHeight="15"/>
  <cols>
    <col min="1" max="1" width="30.28515625" bestFit="1" customWidth="1"/>
    <col min="2" max="2" width="10.5703125" bestFit="1" customWidth="1"/>
    <col min="3" max="5" width="6.42578125" bestFit="1" customWidth="1"/>
    <col min="6" max="6" width="7.28515625" bestFit="1" customWidth="1"/>
    <col min="7" max="7" width="10.42578125" bestFit="1" customWidth="1"/>
    <col min="8" max="8" width="6.42578125" bestFit="1" customWidth="1"/>
  </cols>
  <sheetData>
    <row r="1" spans="1:8" ht="24" thickBot="1">
      <c r="A1" s="14" t="s">
        <v>0</v>
      </c>
      <c r="B1" s="14"/>
      <c r="C1" s="14"/>
      <c r="D1" s="14"/>
      <c r="E1" s="14"/>
      <c r="F1" s="14"/>
      <c r="G1" s="14"/>
      <c r="H1" s="14"/>
    </row>
    <row r="2" spans="1:8" ht="15.75" thickTop="1">
      <c r="A2" s="4" t="s">
        <v>1</v>
      </c>
      <c r="B2" s="2"/>
      <c r="C2" s="2"/>
      <c r="D2" s="2"/>
      <c r="E2" s="2"/>
      <c r="F2" s="2"/>
      <c r="G2" s="2"/>
      <c r="H2" s="2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>
      <c r="A4" t="s">
        <v>10</v>
      </c>
      <c r="B4" t="s">
        <v>11</v>
      </c>
      <c r="C4">
        <v>10</v>
      </c>
      <c r="D4">
        <v>9</v>
      </c>
      <c r="E4">
        <v>7</v>
      </c>
      <c r="F4">
        <v>96</v>
      </c>
      <c r="G4">
        <v>94</v>
      </c>
      <c r="H4">
        <f>SUM(C4:G4)</f>
        <v>216</v>
      </c>
    </row>
    <row r="5" spans="1:8">
      <c r="A5" t="s">
        <v>12</v>
      </c>
      <c r="B5" t="s">
        <v>13</v>
      </c>
      <c r="C5">
        <v>8</v>
      </c>
      <c r="D5">
        <v>8</v>
      </c>
      <c r="E5">
        <v>8</v>
      </c>
      <c r="F5">
        <v>88</v>
      </c>
      <c r="G5">
        <v>92</v>
      </c>
      <c r="H5">
        <f t="shared" ref="H5:H14" si="0">SUM(C5:G5)</f>
        <v>204</v>
      </c>
    </row>
    <row r="6" spans="1:8">
      <c r="A6" t="s">
        <v>14</v>
      </c>
      <c r="B6" t="s">
        <v>15</v>
      </c>
      <c r="C6">
        <v>8</v>
      </c>
      <c r="D6">
        <v>9</v>
      </c>
      <c r="E6">
        <v>9</v>
      </c>
      <c r="F6">
        <v>82</v>
      </c>
      <c r="G6">
        <v>90</v>
      </c>
      <c r="H6">
        <f t="shared" si="0"/>
        <v>198</v>
      </c>
    </row>
    <row r="7" spans="1:8">
      <c r="A7" t="s">
        <v>16</v>
      </c>
      <c r="B7" t="s">
        <v>17</v>
      </c>
      <c r="C7">
        <v>7</v>
      </c>
      <c r="D7">
        <v>7</v>
      </c>
      <c r="E7">
        <v>8</v>
      </c>
      <c r="F7">
        <v>89</v>
      </c>
      <c r="G7">
        <v>82</v>
      </c>
      <c r="H7">
        <f t="shared" si="0"/>
        <v>193</v>
      </c>
    </row>
    <row r="8" spans="1:8">
      <c r="A8" t="s">
        <v>18</v>
      </c>
      <c r="B8" t="s">
        <v>19</v>
      </c>
      <c r="C8">
        <v>10</v>
      </c>
      <c r="D8">
        <v>9</v>
      </c>
      <c r="E8">
        <v>9</v>
      </c>
      <c r="F8">
        <v>88</v>
      </c>
      <c r="G8">
        <v>97</v>
      </c>
      <c r="H8">
        <f t="shared" si="0"/>
        <v>213</v>
      </c>
    </row>
    <row r="9" spans="1:8">
      <c r="A9" t="s">
        <v>20</v>
      </c>
      <c r="B9" t="s">
        <v>21</v>
      </c>
      <c r="C9">
        <v>7</v>
      </c>
      <c r="D9">
        <v>8</v>
      </c>
      <c r="E9">
        <v>7</v>
      </c>
      <c r="F9">
        <v>74</v>
      </c>
      <c r="G9">
        <v>70</v>
      </c>
      <c r="H9">
        <f t="shared" si="0"/>
        <v>166</v>
      </c>
    </row>
    <row r="10" spans="1:8">
      <c r="A10" t="s">
        <v>22</v>
      </c>
      <c r="B10" t="s">
        <v>23</v>
      </c>
      <c r="C10">
        <v>6</v>
      </c>
      <c r="D10">
        <v>6</v>
      </c>
      <c r="E10">
        <v>0</v>
      </c>
      <c r="F10">
        <v>65</v>
      </c>
      <c r="G10">
        <v>63</v>
      </c>
      <c r="H10">
        <f t="shared" si="0"/>
        <v>140</v>
      </c>
    </row>
    <row r="11" spans="1:8">
      <c r="A11" t="s">
        <v>24</v>
      </c>
      <c r="B11" t="s">
        <v>25</v>
      </c>
      <c r="C11">
        <v>8</v>
      </c>
      <c r="D11">
        <v>8</v>
      </c>
      <c r="E11">
        <v>9</v>
      </c>
      <c r="F11">
        <v>91</v>
      </c>
      <c r="G11">
        <v>90</v>
      </c>
      <c r="H11">
        <f t="shared" si="0"/>
        <v>206</v>
      </c>
    </row>
    <row r="12" spans="1:8">
      <c r="A12" t="s">
        <v>26</v>
      </c>
      <c r="B12" t="s">
        <v>27</v>
      </c>
      <c r="C12">
        <v>9</v>
      </c>
      <c r="D12">
        <v>9</v>
      </c>
      <c r="E12">
        <v>10</v>
      </c>
      <c r="F12">
        <v>96</v>
      </c>
      <c r="G12">
        <v>98</v>
      </c>
      <c r="H12">
        <f t="shared" si="0"/>
        <v>222</v>
      </c>
    </row>
    <row r="13" spans="1:8">
      <c r="A13" t="s">
        <v>28</v>
      </c>
      <c r="B13" t="s">
        <v>29</v>
      </c>
      <c r="C13">
        <v>8</v>
      </c>
      <c r="D13">
        <v>9</v>
      </c>
      <c r="E13">
        <v>10</v>
      </c>
      <c r="F13">
        <v>94</v>
      </c>
      <c r="G13">
        <v>91</v>
      </c>
      <c r="H13">
        <f t="shared" si="0"/>
        <v>212</v>
      </c>
    </row>
    <row r="14" spans="1:8" ht="15.75" thickBot="1">
      <c r="A14" t="s">
        <v>30</v>
      </c>
      <c r="B14" t="s">
        <v>31</v>
      </c>
      <c r="C14">
        <v>7</v>
      </c>
      <c r="D14">
        <v>7</v>
      </c>
      <c r="E14">
        <v>7</v>
      </c>
      <c r="F14">
        <v>78</v>
      </c>
      <c r="G14">
        <v>74</v>
      </c>
      <c r="H14">
        <f t="shared" si="0"/>
        <v>173</v>
      </c>
    </row>
    <row r="15" spans="1:8">
      <c r="A15" s="1"/>
      <c r="B15" s="5" t="s">
        <v>32</v>
      </c>
      <c r="C15" s="11">
        <f>AVERAGE(C4:C14)</f>
        <v>8</v>
      </c>
      <c r="D15" s="11">
        <f t="shared" ref="D15:H15" si="1">AVERAGE(D4:D14)</f>
        <v>8.0909090909090917</v>
      </c>
      <c r="E15" s="11">
        <f t="shared" si="1"/>
        <v>7.6363636363636367</v>
      </c>
      <c r="F15" s="11">
        <f t="shared" si="1"/>
        <v>85.545454545454547</v>
      </c>
      <c r="G15" s="11">
        <f t="shared" si="1"/>
        <v>85.545454545454547</v>
      </c>
      <c r="H15" s="11">
        <f t="shared" si="1"/>
        <v>194.81818181818181</v>
      </c>
    </row>
    <row r="16" spans="1:8">
      <c r="B16" s="6" t="s">
        <v>33</v>
      </c>
      <c r="C16" s="12">
        <f>MIN(C4:C14)</f>
        <v>6</v>
      </c>
      <c r="D16" s="12">
        <f t="shared" ref="D16:H16" si="2">MIN(D4:D14)</f>
        <v>6</v>
      </c>
      <c r="E16" s="12">
        <f t="shared" si="2"/>
        <v>0</v>
      </c>
      <c r="F16" s="12">
        <f t="shared" si="2"/>
        <v>65</v>
      </c>
      <c r="G16" s="12">
        <f t="shared" si="2"/>
        <v>63</v>
      </c>
      <c r="H16" s="12">
        <f t="shared" si="2"/>
        <v>140</v>
      </c>
    </row>
    <row r="17" spans="2:8">
      <c r="B17" s="6" t="s">
        <v>34</v>
      </c>
      <c r="C17" s="12">
        <f>MAX(C4:C14)</f>
        <v>10</v>
      </c>
      <c r="D17" s="12">
        <f t="shared" ref="D17:H17" si="3">MAX(D4:D14)</f>
        <v>9</v>
      </c>
      <c r="E17" s="12">
        <f t="shared" si="3"/>
        <v>10</v>
      </c>
      <c r="F17" s="12">
        <f t="shared" si="3"/>
        <v>96</v>
      </c>
      <c r="G17" s="12">
        <f t="shared" si="3"/>
        <v>98</v>
      </c>
      <c r="H17" s="12">
        <f t="shared" si="3"/>
        <v>222</v>
      </c>
    </row>
  </sheetData>
  <mergeCells count="1">
    <mergeCell ref="A1:H1"/>
  </mergeCells>
  <printOptions gridLines="1"/>
  <pageMargins left="0.7" right="0.7" top="0.75" bottom="0.75" header="0.3" footer="0.3"/>
  <pageSetup orientation="portrait" r:id="rId1"/>
  <headerFooter>
    <oddHeader>&amp;C&amp;A</oddHeader>
    <oddFooter>&amp;RMember ID
Job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zoomScaleNormal="100" workbookViewId="0">
      <selection sqref="A1:H1"/>
    </sheetView>
  </sheetViews>
  <sheetFormatPr defaultRowHeight="15"/>
  <cols>
    <col min="1" max="1" width="12.5703125" customWidth="1"/>
    <col min="2" max="2" width="10.5703125" bestFit="1" customWidth="1"/>
    <col min="3" max="5" width="8" customWidth="1"/>
    <col min="6" max="6" width="10.42578125" customWidth="1"/>
    <col min="7" max="7" width="10.42578125" bestFit="1" customWidth="1"/>
    <col min="8" max="8" width="9.28515625" customWidth="1"/>
  </cols>
  <sheetData>
    <row r="1" spans="1:8" ht="24" thickBot="1">
      <c r="A1" s="14" t="s">
        <v>0</v>
      </c>
      <c r="B1" s="14"/>
      <c r="C1" s="14"/>
      <c r="D1" s="14"/>
      <c r="E1" s="14"/>
      <c r="F1" s="14"/>
      <c r="G1" s="14"/>
      <c r="H1" s="14"/>
    </row>
    <row r="2" spans="1:8" ht="15.75" thickTop="1">
      <c r="A2" s="9" t="s">
        <v>35</v>
      </c>
      <c r="B2" s="8"/>
      <c r="C2" s="8"/>
      <c r="D2" s="8"/>
      <c r="E2" s="8"/>
      <c r="F2" s="8"/>
      <c r="G2" s="8"/>
      <c r="H2" s="8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>
      <c r="A4" t="s">
        <v>10</v>
      </c>
      <c r="B4" t="s">
        <v>11</v>
      </c>
      <c r="C4">
        <v>9</v>
      </c>
      <c r="D4">
        <v>10</v>
      </c>
      <c r="E4">
        <v>9</v>
      </c>
      <c r="F4">
        <v>82</v>
      </c>
      <c r="G4">
        <v>92</v>
      </c>
      <c r="H4">
        <f>SUM(C4:G4)</f>
        <v>202</v>
      </c>
    </row>
    <row r="5" spans="1:8">
      <c r="A5" t="s">
        <v>12</v>
      </c>
      <c r="B5" t="s">
        <v>13</v>
      </c>
      <c r="C5">
        <v>7</v>
      </c>
      <c r="D5">
        <v>8</v>
      </c>
      <c r="E5">
        <v>8</v>
      </c>
      <c r="F5">
        <v>81</v>
      </c>
      <c r="G5">
        <v>91</v>
      </c>
      <c r="H5">
        <f t="shared" ref="H5:H14" si="0">SUM(C5:G5)</f>
        <v>195</v>
      </c>
    </row>
    <row r="6" spans="1:8">
      <c r="A6" t="s">
        <v>14</v>
      </c>
      <c r="B6" t="s">
        <v>15</v>
      </c>
      <c r="C6">
        <v>8</v>
      </c>
      <c r="D6">
        <v>8</v>
      </c>
      <c r="E6">
        <v>8</v>
      </c>
      <c r="F6">
        <v>93</v>
      </c>
      <c r="G6">
        <v>88</v>
      </c>
      <c r="H6">
        <f t="shared" si="0"/>
        <v>205</v>
      </c>
    </row>
    <row r="7" spans="1:8">
      <c r="A7" t="s">
        <v>16</v>
      </c>
      <c r="B7" t="s">
        <v>17</v>
      </c>
      <c r="C7">
        <v>7</v>
      </c>
      <c r="D7">
        <v>0</v>
      </c>
      <c r="E7">
        <v>7</v>
      </c>
      <c r="F7">
        <v>66</v>
      </c>
      <c r="G7">
        <v>84</v>
      </c>
      <c r="H7">
        <f t="shared" si="0"/>
        <v>164</v>
      </c>
    </row>
    <row r="8" spans="1:8">
      <c r="A8" t="s">
        <v>18</v>
      </c>
      <c r="B8" t="s">
        <v>19</v>
      </c>
      <c r="C8">
        <v>9</v>
      </c>
      <c r="D8">
        <v>9</v>
      </c>
      <c r="E8">
        <v>10</v>
      </c>
      <c r="F8">
        <v>90</v>
      </c>
      <c r="G8">
        <v>95</v>
      </c>
      <c r="H8">
        <f t="shared" si="0"/>
        <v>213</v>
      </c>
    </row>
    <row r="9" spans="1:8">
      <c r="A9" t="s">
        <v>20</v>
      </c>
      <c r="B9" t="s">
        <v>21</v>
      </c>
      <c r="C9">
        <v>8</v>
      </c>
      <c r="D9">
        <v>7</v>
      </c>
      <c r="E9">
        <v>8</v>
      </c>
      <c r="F9">
        <v>84</v>
      </c>
      <c r="G9">
        <v>73</v>
      </c>
      <c r="H9">
        <f t="shared" si="0"/>
        <v>180</v>
      </c>
    </row>
    <row r="10" spans="1:8">
      <c r="A10" t="s">
        <v>22</v>
      </c>
      <c r="B10" t="s">
        <v>23</v>
      </c>
      <c r="C10">
        <v>7</v>
      </c>
      <c r="D10">
        <v>7</v>
      </c>
      <c r="E10">
        <v>7</v>
      </c>
      <c r="F10">
        <v>71</v>
      </c>
      <c r="G10">
        <v>68</v>
      </c>
      <c r="H10">
        <f t="shared" si="0"/>
        <v>160</v>
      </c>
    </row>
    <row r="11" spans="1:8">
      <c r="A11" t="s">
        <v>24</v>
      </c>
      <c r="B11" t="s">
        <v>25</v>
      </c>
      <c r="C11">
        <v>9</v>
      </c>
      <c r="D11">
        <v>9</v>
      </c>
      <c r="E11">
        <v>10</v>
      </c>
      <c r="F11">
        <v>92</v>
      </c>
      <c r="G11">
        <v>95</v>
      </c>
      <c r="H11">
        <f t="shared" si="0"/>
        <v>215</v>
      </c>
    </row>
    <row r="12" spans="1:8">
      <c r="A12" t="s">
        <v>26</v>
      </c>
      <c r="B12" t="s">
        <v>27</v>
      </c>
      <c r="C12">
        <v>9</v>
      </c>
      <c r="D12">
        <v>10</v>
      </c>
      <c r="E12">
        <v>9</v>
      </c>
      <c r="F12">
        <v>95</v>
      </c>
      <c r="G12">
        <v>96</v>
      </c>
      <c r="H12">
        <f t="shared" si="0"/>
        <v>219</v>
      </c>
    </row>
    <row r="13" spans="1:8">
      <c r="A13" t="s">
        <v>28</v>
      </c>
      <c r="B13" t="s">
        <v>29</v>
      </c>
      <c r="C13">
        <v>10</v>
      </c>
      <c r="D13">
        <v>9</v>
      </c>
      <c r="E13">
        <v>9</v>
      </c>
      <c r="F13">
        <v>89</v>
      </c>
      <c r="G13">
        <v>93</v>
      </c>
      <c r="H13">
        <f t="shared" si="0"/>
        <v>210</v>
      </c>
    </row>
    <row r="14" spans="1:8" ht="15.75" thickBot="1">
      <c r="A14" t="s">
        <v>30</v>
      </c>
      <c r="B14" t="s">
        <v>31</v>
      </c>
      <c r="C14">
        <v>8</v>
      </c>
      <c r="D14">
        <v>7</v>
      </c>
      <c r="E14">
        <v>8</v>
      </c>
      <c r="F14">
        <v>84</v>
      </c>
      <c r="G14">
        <v>76</v>
      </c>
      <c r="H14">
        <f t="shared" si="0"/>
        <v>183</v>
      </c>
    </row>
    <row r="15" spans="1:8">
      <c r="A15" s="1"/>
      <c r="B15" s="5" t="s">
        <v>32</v>
      </c>
      <c r="C15" s="11">
        <f>AVERAGE(C4:C14)</f>
        <v>8.2727272727272734</v>
      </c>
      <c r="D15" s="11">
        <f t="shared" ref="D15:H15" si="1">AVERAGE(D4:D14)</f>
        <v>7.6363636363636367</v>
      </c>
      <c r="E15" s="11">
        <f t="shared" si="1"/>
        <v>8.454545454545455</v>
      </c>
      <c r="F15" s="11">
        <f t="shared" si="1"/>
        <v>84.272727272727266</v>
      </c>
      <c r="G15" s="11">
        <f t="shared" si="1"/>
        <v>86.454545454545453</v>
      </c>
      <c r="H15" s="11">
        <f t="shared" si="1"/>
        <v>195.09090909090909</v>
      </c>
    </row>
    <row r="16" spans="1:8">
      <c r="B16" s="6" t="s">
        <v>33</v>
      </c>
      <c r="C16" s="12">
        <f>MIN(C4:C14)</f>
        <v>7</v>
      </c>
      <c r="D16" s="12">
        <f t="shared" ref="D16:H16" si="2">MIN(D4:D14)</f>
        <v>0</v>
      </c>
      <c r="E16" s="12">
        <f t="shared" si="2"/>
        <v>7</v>
      </c>
      <c r="F16" s="12">
        <f t="shared" si="2"/>
        <v>66</v>
      </c>
      <c r="G16" s="12">
        <f t="shared" si="2"/>
        <v>68</v>
      </c>
      <c r="H16" s="12">
        <f t="shared" si="2"/>
        <v>160</v>
      </c>
    </row>
    <row r="17" spans="2:8">
      <c r="B17" s="6" t="s">
        <v>34</v>
      </c>
      <c r="C17" s="12">
        <f>MAX(C4:C14)</f>
        <v>10</v>
      </c>
      <c r="D17" s="12">
        <f t="shared" ref="D17:H17" si="3">MAX(D4:D14)</f>
        <v>10</v>
      </c>
      <c r="E17" s="12">
        <f t="shared" si="3"/>
        <v>10</v>
      </c>
      <c r="F17" s="12">
        <f t="shared" si="3"/>
        <v>95</v>
      </c>
      <c r="G17" s="12">
        <f t="shared" si="3"/>
        <v>96</v>
      </c>
      <c r="H17" s="12">
        <f t="shared" si="3"/>
        <v>219</v>
      </c>
    </row>
  </sheetData>
  <mergeCells count="1">
    <mergeCell ref="A1:H1"/>
  </mergeCells>
  <pageMargins left="0.7" right="0.7" top="0.75" bottom="0.75" header="0.3" footer="0.3"/>
  <pageSetup orientation="portrait" r:id="rId1"/>
  <headerFooter>
    <oddHeader>&amp;C&amp;A</oddHeader>
    <oddFooter>&amp;RMember ID
Job 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tabSelected="1" zoomScaleNormal="100" workbookViewId="0">
      <selection activeCell="V22" sqref="V22"/>
    </sheetView>
  </sheetViews>
  <sheetFormatPr defaultRowHeight="15"/>
  <cols>
    <col min="1" max="1" width="12.5703125" customWidth="1"/>
    <col min="2" max="2" width="10.5703125" bestFit="1" customWidth="1"/>
    <col min="3" max="5" width="8" customWidth="1"/>
    <col min="6" max="6" width="10.42578125" customWidth="1"/>
    <col min="7" max="7" width="10.42578125" bestFit="1" customWidth="1"/>
    <col min="8" max="8" width="9.28515625" customWidth="1"/>
  </cols>
  <sheetData>
    <row r="1" spans="1:8" ht="24" thickBot="1">
      <c r="A1" s="14" t="s">
        <v>0</v>
      </c>
      <c r="B1" s="14"/>
      <c r="C1" s="14"/>
      <c r="D1" s="14"/>
      <c r="E1" s="14"/>
      <c r="F1" s="14"/>
      <c r="G1" s="14"/>
      <c r="H1" s="14"/>
    </row>
    <row r="2" spans="1:8" ht="15.75" thickTop="1">
      <c r="A2" s="10" t="s">
        <v>36</v>
      </c>
      <c r="B2" s="7"/>
      <c r="C2" s="7"/>
      <c r="D2" s="7"/>
      <c r="E2" s="7"/>
      <c r="F2" s="7"/>
      <c r="G2" s="7"/>
      <c r="H2" s="7"/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>
      <c r="A4" t="s">
        <v>10</v>
      </c>
      <c r="B4" t="s">
        <v>11</v>
      </c>
      <c r="C4">
        <v>8</v>
      </c>
      <c r="D4">
        <v>9</v>
      </c>
      <c r="E4">
        <v>9</v>
      </c>
      <c r="F4">
        <v>88</v>
      </c>
      <c r="G4">
        <v>93</v>
      </c>
      <c r="H4">
        <f>SUM(C4:G4)</f>
        <v>207</v>
      </c>
    </row>
    <row r="5" spans="1:8">
      <c r="A5" t="s">
        <v>12</v>
      </c>
      <c r="B5" t="s">
        <v>13</v>
      </c>
      <c r="C5">
        <v>8</v>
      </c>
      <c r="D5">
        <v>7</v>
      </c>
      <c r="E5">
        <v>8</v>
      </c>
      <c r="F5">
        <v>86</v>
      </c>
      <c r="G5">
        <v>88</v>
      </c>
      <c r="H5">
        <f t="shared" ref="H5:H14" si="0">SUM(C5:G5)</f>
        <v>197</v>
      </c>
    </row>
    <row r="6" spans="1:8">
      <c r="A6" t="s">
        <v>14</v>
      </c>
      <c r="B6" t="s">
        <v>15</v>
      </c>
      <c r="C6">
        <v>9</v>
      </c>
      <c r="D6">
        <v>9</v>
      </c>
      <c r="E6">
        <v>8</v>
      </c>
      <c r="F6">
        <v>91</v>
      </c>
      <c r="G6">
        <v>91</v>
      </c>
      <c r="H6">
        <f t="shared" si="0"/>
        <v>208</v>
      </c>
    </row>
    <row r="7" spans="1:8">
      <c r="A7" t="s">
        <v>16</v>
      </c>
      <c r="B7" t="s">
        <v>17</v>
      </c>
      <c r="C7">
        <v>8</v>
      </c>
      <c r="D7">
        <v>8</v>
      </c>
      <c r="E7">
        <v>8</v>
      </c>
      <c r="F7">
        <v>82</v>
      </c>
      <c r="G7">
        <v>86</v>
      </c>
      <c r="H7">
        <f t="shared" si="0"/>
        <v>192</v>
      </c>
    </row>
    <row r="8" spans="1:8">
      <c r="A8" t="s">
        <v>18</v>
      </c>
      <c r="B8" t="s">
        <v>19</v>
      </c>
      <c r="C8">
        <v>10</v>
      </c>
      <c r="D8">
        <v>10</v>
      </c>
      <c r="E8">
        <v>9</v>
      </c>
      <c r="F8">
        <v>94</v>
      </c>
      <c r="G8">
        <v>97</v>
      </c>
      <c r="H8">
        <f t="shared" si="0"/>
        <v>220</v>
      </c>
    </row>
    <row r="9" spans="1:8">
      <c r="A9" t="s">
        <v>20</v>
      </c>
      <c r="B9" t="s">
        <v>21</v>
      </c>
      <c r="C9">
        <v>8</v>
      </c>
      <c r="D9">
        <v>8</v>
      </c>
      <c r="E9">
        <v>7</v>
      </c>
      <c r="F9">
        <v>86</v>
      </c>
      <c r="G9">
        <v>84</v>
      </c>
      <c r="H9">
        <f t="shared" si="0"/>
        <v>193</v>
      </c>
    </row>
    <row r="10" spans="1:8">
      <c r="A10" t="s">
        <v>22</v>
      </c>
      <c r="B10" t="s">
        <v>23</v>
      </c>
      <c r="C10">
        <v>8</v>
      </c>
      <c r="D10">
        <v>7</v>
      </c>
      <c r="E10">
        <v>6</v>
      </c>
      <c r="F10">
        <v>74</v>
      </c>
      <c r="G10">
        <v>72</v>
      </c>
      <c r="H10">
        <f t="shared" si="0"/>
        <v>167</v>
      </c>
    </row>
    <row r="11" spans="1:8">
      <c r="A11" t="s">
        <v>24</v>
      </c>
      <c r="B11" t="s">
        <v>25</v>
      </c>
      <c r="C11">
        <v>10</v>
      </c>
      <c r="D11">
        <v>10</v>
      </c>
      <c r="E11">
        <v>8</v>
      </c>
      <c r="F11">
        <v>89</v>
      </c>
      <c r="G11">
        <v>94</v>
      </c>
      <c r="H11">
        <f t="shared" si="0"/>
        <v>211</v>
      </c>
    </row>
    <row r="12" spans="1:8">
      <c r="A12" t="s">
        <v>26</v>
      </c>
      <c r="B12" t="s">
        <v>27</v>
      </c>
      <c r="C12">
        <v>10</v>
      </c>
      <c r="D12">
        <v>10</v>
      </c>
      <c r="E12">
        <v>10</v>
      </c>
      <c r="F12">
        <v>98</v>
      </c>
      <c r="G12">
        <v>98</v>
      </c>
      <c r="H12">
        <f t="shared" si="0"/>
        <v>226</v>
      </c>
    </row>
    <row r="13" spans="1:8">
      <c r="A13" t="s">
        <v>28</v>
      </c>
      <c r="B13" t="s">
        <v>29</v>
      </c>
      <c r="C13">
        <v>9</v>
      </c>
      <c r="D13">
        <v>9</v>
      </c>
      <c r="E13">
        <v>9</v>
      </c>
      <c r="F13">
        <v>96</v>
      </c>
      <c r="G13">
        <v>92</v>
      </c>
      <c r="H13">
        <f t="shared" si="0"/>
        <v>215</v>
      </c>
    </row>
    <row r="14" spans="1:8" ht="15.75" thickBot="1">
      <c r="A14" t="s">
        <v>30</v>
      </c>
      <c r="B14" t="s">
        <v>31</v>
      </c>
      <c r="C14">
        <v>8</v>
      </c>
      <c r="D14">
        <v>8</v>
      </c>
      <c r="E14">
        <v>8</v>
      </c>
      <c r="F14">
        <v>82</v>
      </c>
      <c r="G14">
        <v>85</v>
      </c>
      <c r="H14">
        <f t="shared" si="0"/>
        <v>191</v>
      </c>
    </row>
    <row r="15" spans="1:8">
      <c r="A15" s="1"/>
      <c r="B15" s="5" t="s">
        <v>32</v>
      </c>
      <c r="C15" s="11">
        <f>AVERAGE(C4:C14)</f>
        <v>8.7272727272727266</v>
      </c>
      <c r="D15" s="11">
        <f t="shared" ref="D15:H15" si="1">AVERAGE(D4:D14)</f>
        <v>8.6363636363636367</v>
      </c>
      <c r="E15" s="11">
        <f t="shared" si="1"/>
        <v>8.1818181818181817</v>
      </c>
      <c r="F15" s="11">
        <f t="shared" si="1"/>
        <v>87.818181818181813</v>
      </c>
      <c r="G15" s="11">
        <f t="shared" si="1"/>
        <v>89.090909090909093</v>
      </c>
      <c r="H15" s="11">
        <f t="shared" si="1"/>
        <v>202.45454545454547</v>
      </c>
    </row>
    <row r="16" spans="1:8">
      <c r="B16" s="6" t="s">
        <v>33</v>
      </c>
      <c r="C16" s="12">
        <f>MIN(C4:C14)</f>
        <v>8</v>
      </c>
      <c r="D16" s="12">
        <f t="shared" ref="D16:H16" si="2">MIN(D4:D14)</f>
        <v>7</v>
      </c>
      <c r="E16" s="12">
        <f t="shared" si="2"/>
        <v>6</v>
      </c>
      <c r="F16" s="12">
        <f t="shared" si="2"/>
        <v>74</v>
      </c>
      <c r="G16" s="12">
        <f t="shared" si="2"/>
        <v>72</v>
      </c>
      <c r="H16" s="12">
        <f t="shared" si="2"/>
        <v>167</v>
      </c>
    </row>
    <row r="17" spans="2:8">
      <c r="B17" s="6" t="s">
        <v>34</v>
      </c>
      <c r="C17" s="12">
        <f>MAX(C4:C14)</f>
        <v>10</v>
      </c>
      <c r="D17" s="12">
        <f t="shared" ref="D17:H17" si="3">MAX(D4:D14)</f>
        <v>10</v>
      </c>
      <c r="E17" s="12">
        <f t="shared" si="3"/>
        <v>10</v>
      </c>
      <c r="F17" s="12">
        <f t="shared" si="3"/>
        <v>98</v>
      </c>
      <c r="G17" s="12">
        <f t="shared" si="3"/>
        <v>98</v>
      </c>
      <c r="H17" s="12">
        <f t="shared" si="3"/>
        <v>226</v>
      </c>
    </row>
  </sheetData>
  <mergeCells count="1">
    <mergeCell ref="A1:H1"/>
  </mergeCells>
  <pageMargins left="0.7" right="0.7" top="0.75" bottom="0.75" header="0.3" footer="0.3"/>
  <pageSetup orientation="portrait" r:id="rId1"/>
  <headerFooter>
    <oddHeader>&amp;C&amp;A</oddHeader>
    <oddFooter>&amp;RMember ID
Job 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50F1-B352-4FBD-802F-ABD184388A6F}">
  <dimension ref="A1:E13"/>
  <sheetViews>
    <sheetView zoomScaleNormal="100" workbookViewId="0">
      <selection activeCell="I17" sqref="I17"/>
    </sheetView>
  </sheetViews>
  <sheetFormatPr defaultRowHeight="15"/>
  <cols>
    <col min="1" max="1" width="10.140625" bestFit="1" customWidth="1"/>
    <col min="2" max="2" width="10.5703125" bestFit="1" customWidth="1"/>
    <col min="3" max="3" width="8.7109375" bestFit="1" customWidth="1"/>
    <col min="4" max="4" width="10.140625" bestFit="1" customWidth="1"/>
    <col min="5" max="5" width="16.7109375" bestFit="1" customWidth="1"/>
  </cols>
  <sheetData>
    <row r="1" spans="1:5" ht="23.25">
      <c r="A1" s="15" t="s">
        <v>37</v>
      </c>
      <c r="B1" s="15"/>
      <c r="C1" s="15"/>
      <c r="D1" s="15"/>
      <c r="E1" s="15"/>
    </row>
    <row r="2" spans="1:5" s="3" customFormat="1">
      <c r="A2" s="3" t="s">
        <v>2</v>
      </c>
      <c r="B2" s="3" t="s">
        <v>3</v>
      </c>
      <c r="C2" s="3" t="s">
        <v>38</v>
      </c>
      <c r="D2" s="3" t="s">
        <v>39</v>
      </c>
      <c r="E2" s="3" t="s">
        <v>40</v>
      </c>
    </row>
    <row r="3" spans="1:5">
      <c r="A3" t="str">
        <f>'Block 3'!A4</f>
        <v>McFall</v>
      </c>
      <c r="B3" t="str">
        <f>'Block 3'!B4</f>
        <v>Aaron</v>
      </c>
      <c r="C3" s="13">
        <f>'Block 1'!H4/230</f>
        <v>0.93913043478260871</v>
      </c>
      <c r="D3" s="13">
        <f>'Block 2'!H4/230</f>
        <v>0.87826086956521743</v>
      </c>
      <c r="E3" s="13">
        <f>'Block 3'!H4/230</f>
        <v>0.9</v>
      </c>
    </row>
    <row r="4" spans="1:5">
      <c r="A4" t="str">
        <f>'Block 3'!A5</f>
        <v>Smith</v>
      </c>
      <c r="B4" t="str">
        <f>'Block 3'!B5</f>
        <v>John</v>
      </c>
      <c r="C4" s="13">
        <f>'Block 1'!H5/230</f>
        <v>0.88695652173913042</v>
      </c>
      <c r="D4" s="13">
        <f>'Block 2'!H5/230</f>
        <v>0.84782608695652173</v>
      </c>
      <c r="E4" s="13">
        <f>'Block 3'!H5/230</f>
        <v>0.85652173913043483</v>
      </c>
    </row>
    <row r="5" spans="1:5">
      <c r="A5" t="str">
        <f>'Block 3'!A6</f>
        <v>Herp</v>
      </c>
      <c r="B5" t="str">
        <f>'Block 3'!B6</f>
        <v>Chad</v>
      </c>
      <c r="C5" s="13">
        <f>'Block 1'!H6/230</f>
        <v>0.86086956521739133</v>
      </c>
      <c r="D5" s="13">
        <f>'Block 2'!H6/230</f>
        <v>0.89130434782608692</v>
      </c>
      <c r="E5" s="13">
        <f>'Block 3'!H6/230</f>
        <v>0.90434782608695652</v>
      </c>
    </row>
    <row r="6" spans="1:5">
      <c r="A6" t="str">
        <f>'Block 3'!A7</f>
        <v>Anderson</v>
      </c>
      <c r="B6" t="str">
        <f>'Block 3'!B7</f>
        <v>Shelly</v>
      </c>
      <c r="C6" s="13">
        <f>'Block 1'!H7/230</f>
        <v>0.83913043478260874</v>
      </c>
      <c r="D6" s="13">
        <f>'Block 2'!H7/230</f>
        <v>0.71304347826086956</v>
      </c>
      <c r="E6" s="13">
        <f>'Block 3'!H7/230</f>
        <v>0.83478260869565213</v>
      </c>
    </row>
    <row r="7" spans="1:5">
      <c r="A7" t="str">
        <f>'Block 3'!A8</f>
        <v>Chopra</v>
      </c>
      <c r="B7" t="str">
        <f>'Block 3'!B8</f>
        <v>Rachel</v>
      </c>
      <c r="C7" s="13">
        <f>'Block 1'!H8/230</f>
        <v>0.92608695652173911</v>
      </c>
      <c r="D7" s="13">
        <f>'Block 2'!H8/230</f>
        <v>0.92608695652173911</v>
      </c>
      <c r="E7" s="13">
        <f>'Block 3'!H8/230</f>
        <v>0.95652173913043481</v>
      </c>
    </row>
    <row r="8" spans="1:5">
      <c r="A8" t="str">
        <f>'Block 3'!A9</f>
        <v>Davison</v>
      </c>
      <c r="B8" t="str">
        <f>'Block 3'!B9</f>
        <v>Eric</v>
      </c>
      <c r="C8" s="13">
        <f>'Block 1'!H9/230</f>
        <v>0.72173913043478266</v>
      </c>
      <c r="D8" s="13">
        <f>'Block 2'!H9/230</f>
        <v>0.78260869565217395</v>
      </c>
      <c r="E8" s="13">
        <f>'Block 3'!H9/230</f>
        <v>0.83913043478260874</v>
      </c>
    </row>
    <row r="9" spans="1:5">
      <c r="A9" t="str">
        <f>'Block 3'!A10</f>
        <v>Hensley</v>
      </c>
      <c r="B9" t="str">
        <f>'Block 3'!B10</f>
        <v>Kari</v>
      </c>
      <c r="C9" s="13">
        <f>'Block 1'!H10/230</f>
        <v>0.60869565217391308</v>
      </c>
      <c r="D9" s="13">
        <f>'Block 2'!H10/230</f>
        <v>0.69565217391304346</v>
      </c>
      <c r="E9" s="13">
        <f>'Block 3'!H10/230</f>
        <v>0.72608695652173916</v>
      </c>
    </row>
    <row r="10" spans="1:5">
      <c r="A10" t="str">
        <f>'Block 3'!A11</f>
        <v>Long</v>
      </c>
      <c r="B10" t="str">
        <f>'Block 3'!B11</f>
        <v>Michal</v>
      </c>
      <c r="C10" s="13">
        <f>'Block 1'!H11/230</f>
        <v>0.89565217391304353</v>
      </c>
      <c r="D10" s="13">
        <f>'Block 2'!H11/230</f>
        <v>0.93478260869565222</v>
      </c>
      <c r="E10" s="13">
        <f>'Block 3'!H11/230</f>
        <v>0.91739130434782612</v>
      </c>
    </row>
    <row r="11" spans="1:5">
      <c r="A11" t="str">
        <f>'Block 3'!A12</f>
        <v>Paschke</v>
      </c>
      <c r="B11" t="str">
        <f>'Block 3'!B12</f>
        <v>Dorena</v>
      </c>
      <c r="C11" s="13">
        <f>'Block 1'!H12/230</f>
        <v>0.9652173913043478</v>
      </c>
      <c r="D11" s="13">
        <f>'Block 2'!H12/230</f>
        <v>0.95217391304347831</v>
      </c>
      <c r="E11" s="13">
        <f>'Block 3'!H12/230</f>
        <v>0.9826086956521739</v>
      </c>
    </row>
    <row r="12" spans="1:5">
      <c r="A12" t="str">
        <f>'Block 3'!A13</f>
        <v>Wang</v>
      </c>
      <c r="B12" t="str">
        <f>'Block 3'!B13</f>
        <v>Tony</v>
      </c>
      <c r="C12" s="13">
        <f>'Block 1'!H13/230</f>
        <v>0.92173913043478262</v>
      </c>
      <c r="D12" s="13">
        <f>'Block 2'!H13/230</f>
        <v>0.91304347826086951</v>
      </c>
      <c r="E12" s="13">
        <f>'Block 3'!H13/230</f>
        <v>0.93478260869565222</v>
      </c>
    </row>
    <row r="13" spans="1:5">
      <c r="A13" t="str">
        <f>'Block 3'!A14</f>
        <v>Ribaute</v>
      </c>
      <c r="B13" t="str">
        <f>'Block 3'!B14</f>
        <v>Delphine</v>
      </c>
      <c r="C13" s="13">
        <f>'Block 1'!H14/230</f>
        <v>0.75217391304347825</v>
      </c>
      <c r="D13" s="13">
        <f>'Block 2'!H14/230</f>
        <v>0.79565217391304344</v>
      </c>
      <c r="E13" s="13">
        <f>'Block 3'!H14/230</f>
        <v>0.83043478260869563</v>
      </c>
    </row>
  </sheetData>
  <mergeCells count="1">
    <mergeCell ref="A1:E1"/>
  </mergeCells>
  <printOptions gridLines="1"/>
  <pageMargins left="0.7" right="0.7" top="0.75" bottom="0.75" header="0.3" footer="0.3"/>
  <pageSetup orientation="portrait" r:id="rId1"/>
  <headerFooter>
    <oddHeader>&amp;C&amp;A</oddHeader>
    <oddFooter>&amp;RMember ID
Job 1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4" ma:contentTypeDescription="Create a new document." ma:contentTypeScope="" ma:versionID="9828d1a502c98a8766cecab7faa66fdf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4cdf7b0e358e5cf392e80884bdfd2dbe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b8f918c-806f-48bb-b148-3bb23bc48c28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C5B922-737D-4196-9A44-AFBA0B2ACF36}"/>
</file>

<file path=customXml/itemProps2.xml><?xml version="1.0" encoding="utf-8"?>
<ds:datastoreItem xmlns:ds="http://schemas.openxmlformats.org/officeDocument/2006/customXml" ds:itemID="{18E58AF9-E863-406D-8F9C-A15483ECD5EE}"/>
</file>

<file path=customXml/itemProps3.xml><?xml version="1.0" encoding="utf-8"?>
<ds:datastoreItem xmlns:ds="http://schemas.openxmlformats.org/officeDocument/2006/customXml" ds:itemID="{0D4B7C46-F687-465E-8E8D-6D12CABB77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MOAC Excel</dc:creator>
  <cp:keywords/>
  <dc:description/>
  <cp:lastModifiedBy>Jeannette Barreto</cp:lastModifiedBy>
  <cp:revision/>
  <dcterms:created xsi:type="dcterms:W3CDTF">2013-01-29T13:04:41Z</dcterms:created>
  <dcterms:modified xsi:type="dcterms:W3CDTF">2022-07-13T22:26:12Z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  <property fmtid="{D5CDD505-2E9C-101B-9397-08002B2CF9AE}" pid="3" name="MediaServiceImageTags">
    <vt:lpwstr/>
  </property>
</Properties>
</file>