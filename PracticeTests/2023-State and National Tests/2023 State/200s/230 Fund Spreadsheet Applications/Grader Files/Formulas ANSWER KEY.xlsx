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Fundamental Spreadsheet\State\"/>
    </mc:Choice>
  </mc:AlternateContent>
  <xr:revisionPtr revIDLastSave="0" documentId="13_ncr:1_{7FD66DAF-C2FB-4DAC-8506-62EFF94F15A0}" xr6:coauthVersionLast="47" xr6:coauthVersionMax="47" xr10:uidLastSave="{00000000-0000-0000-0000-000000000000}"/>
  <bookViews>
    <workbookView xWindow="0" yWindow="0" windowWidth="21570" windowHeight="7980" xr2:uid="{6F8751DF-7BE7-44F6-8BD0-461905057642}"/>
  </bookViews>
  <sheets>
    <sheet name="Sheet1" sheetId="1" r:id="rId1"/>
  </sheets>
  <definedNames>
    <definedName name="_xlnm._FilterDatabase" localSheetId="0" hidden="1">Sheet1!$A$5:$F$20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1" l="1"/>
  <c r="E11" i="1"/>
  <c r="E19" i="1"/>
  <c r="E18" i="1"/>
  <c r="E12" i="1"/>
  <c r="E7" i="1"/>
  <c r="E10" i="1"/>
  <c r="E14" i="1"/>
  <c r="E20" i="1"/>
  <c r="E15" i="1"/>
  <c r="E13" i="1"/>
  <c r="E16" i="1"/>
  <c r="E8" i="1"/>
  <c r="E9" i="1"/>
  <c r="E6" i="1"/>
  <c r="D6" i="1"/>
  <c r="D17" i="1"/>
  <c r="F17" i="1" s="1"/>
  <c r="D11" i="1"/>
  <c r="F11" i="1" s="1"/>
  <c r="D19" i="1"/>
  <c r="F19" i="1" s="1"/>
  <c r="D18" i="1"/>
  <c r="F18" i="1" s="1"/>
  <c r="D12" i="1"/>
  <c r="F12" i="1" s="1"/>
  <c r="D7" i="1"/>
  <c r="F7" i="1" s="1"/>
  <c r="D10" i="1"/>
  <c r="F10" i="1" s="1"/>
  <c r="D14" i="1"/>
  <c r="F14" i="1" s="1"/>
  <c r="D20" i="1"/>
  <c r="F20" i="1" s="1"/>
  <c r="D15" i="1"/>
  <c r="F15" i="1" s="1"/>
  <c r="D13" i="1"/>
  <c r="F13" i="1" s="1"/>
  <c r="D16" i="1"/>
  <c r="F16" i="1" s="1"/>
  <c r="D8" i="1"/>
  <c r="F8" i="1" s="1"/>
  <c r="D9" i="1"/>
  <c r="F9" i="1" s="1"/>
  <c r="F6" i="1" l="1"/>
</calcChain>
</file>

<file path=xl/sharedStrings.xml><?xml version="1.0" encoding="utf-8"?>
<sst xmlns="http://schemas.openxmlformats.org/spreadsheetml/2006/main" count="25" uniqueCount="18">
  <si>
    <t>Graphic Design Store</t>
  </si>
  <si>
    <t>Summary for March</t>
  </si>
  <si>
    <t>Discount Percent</t>
  </si>
  <si>
    <t>Tax Rate</t>
  </si>
  <si>
    <t>Ticket #</t>
  </si>
  <si>
    <t>Vendor Name</t>
  </si>
  <si>
    <t>Amount</t>
  </si>
  <si>
    <t>Discount</t>
  </si>
  <si>
    <t>Sales Tax</t>
  </si>
  <si>
    <t>Total</t>
  </si>
  <si>
    <t>American Cotton</t>
  </si>
  <si>
    <t>Cleaning Services</t>
  </si>
  <si>
    <t>Energy Plus</t>
  </si>
  <si>
    <t>Far East Graphics</t>
  </si>
  <si>
    <t>Graphic Unlimited</t>
  </si>
  <si>
    <t>International Footwear, Ltd.</t>
  </si>
  <si>
    <t>JM Designs</t>
  </si>
  <si>
    <t>Package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</si>
</sst>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10">
    <xf numFmtId="0" fontId="0" fillId="0" borderId="0" xfId="0"/>
    <xf numFmtId="44" fontId="0" fillId="0" borderId="0" xfId="0" applyNumberFormat="1"/>
    <xf numFmtId="0" fontId="3" fillId="0" borderId="0" xfId="0" applyFont="1"/>
    <xf numFmtId="9" fontId="3" fillId="0" borderId="0" xfId="1" applyFont="1"/>
    <xf numFmtId="44" fontId="3" fillId="0" borderId="0" xfId="0" applyNumberFormat="1" applyFont="1"/>
    <xf numFmtId="10" fontId="3" fillId="0" borderId="0" xfId="1" applyNumberFormat="1" applyFont="1"/>
    <xf numFmtId="0" fontId="4" fillId="0" borderId="0" xfId="0" applyFont="1"/>
    <xf numFmtId="44" fontId="4" fillId="0" borderId="0" xfId="0" applyNumberFormat="1" applyFont="1"/>
    <xf numFmtId="0" fontId="2" fillId="0" borderId="0" xfId="2" applyAlignment="1">
      <alignment horizontal="center"/>
    </xf>
    <xf numFmtId="0" fontId="1" fillId="2" borderId="0" xfId="3" applyAlignment="1">
      <alignment horizontal="center"/>
    </xf>
  </cellXfs>
  <cellStyles count="4">
    <cellStyle name="40% - Accent2" xfId="3" builtinId="35"/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171E-3EF3-4F27-AD46-3346732E7F96}">
  <sheetPr filterMode="1"/>
  <dimension ref="A1:F20"/>
  <sheetViews>
    <sheetView tabSelected="1" zoomScaleNormal="100" workbookViewId="0">
      <selection sqref="A1:F1"/>
    </sheetView>
  </sheetViews>
  <sheetFormatPr defaultRowHeight="15"/>
  <cols>
    <col min="1" max="1" width="18.5703125" bestFit="1" customWidth="1"/>
    <col min="2" max="2" width="28.5703125" bestFit="1" customWidth="1"/>
    <col min="3" max="3" width="13.5703125" style="1" bestFit="1" customWidth="1"/>
    <col min="4" max="4" width="14.85546875" style="1" bestFit="1" customWidth="1"/>
    <col min="5" max="5" width="15.7109375" style="1" bestFit="1" customWidth="1"/>
    <col min="6" max="6" width="12.85546875" style="1" bestFit="1" customWidth="1"/>
  </cols>
  <sheetData>
    <row r="1" spans="1:6" ht="23.25">
      <c r="A1" s="8" t="s">
        <v>0</v>
      </c>
      <c r="B1" s="8"/>
      <c r="C1" s="8"/>
      <c r="D1" s="8"/>
      <c r="E1" s="8"/>
      <c r="F1" s="8"/>
    </row>
    <row r="2" spans="1:6">
      <c r="A2" s="9" t="s">
        <v>1</v>
      </c>
      <c r="B2" s="9"/>
      <c r="C2" s="9"/>
      <c r="D2" s="9"/>
      <c r="E2" s="9"/>
      <c r="F2" s="9"/>
    </row>
    <row r="3" spans="1:6" ht="15.75">
      <c r="A3" s="2" t="s">
        <v>2</v>
      </c>
      <c r="B3" s="3">
        <v>0.02</v>
      </c>
      <c r="C3" s="4"/>
      <c r="D3" s="4"/>
      <c r="E3" s="4"/>
      <c r="F3" s="4"/>
    </row>
    <row r="4" spans="1:6" ht="15.75">
      <c r="A4" s="2" t="s">
        <v>3</v>
      </c>
      <c r="B4" s="5">
        <v>6.2600000000000003E-2</v>
      </c>
      <c r="C4" s="4"/>
      <c r="D4" s="4"/>
      <c r="E4" s="4"/>
      <c r="F4" s="4"/>
    </row>
    <row r="5" spans="1:6" ht="15.75">
      <c r="A5" s="6" t="s">
        <v>4</v>
      </c>
      <c r="B5" s="6" t="s">
        <v>5</v>
      </c>
      <c r="C5" s="7" t="s">
        <v>6</v>
      </c>
      <c r="D5" s="7" t="s">
        <v>7</v>
      </c>
      <c r="E5" s="7" t="s">
        <v>8</v>
      </c>
      <c r="F5" s="7" t="s">
        <v>9</v>
      </c>
    </row>
    <row r="6" spans="1:6" ht="15.75">
      <c r="A6" s="2">
        <v>1144</v>
      </c>
      <c r="B6" s="2" t="s">
        <v>10</v>
      </c>
      <c r="C6" s="4">
        <v>345</v>
      </c>
      <c r="D6" s="4">
        <f t="shared" ref="D6:D20" si="0">C6*$B$3</f>
        <v>6.9</v>
      </c>
      <c r="E6" s="4">
        <f t="shared" ref="E6:E20" si="1">C6*$B$4</f>
        <v>21.597000000000001</v>
      </c>
      <c r="F6" s="4">
        <f t="shared" ref="F6:F20" si="2">C6-D6+E6</f>
        <v>359.697</v>
      </c>
    </row>
    <row r="7" spans="1:6" ht="15.75">
      <c r="A7" s="2">
        <v>2869</v>
      </c>
      <c r="B7" s="2" t="s">
        <v>11</v>
      </c>
      <c r="C7" s="4">
        <v>933</v>
      </c>
      <c r="D7" s="4">
        <f t="shared" si="0"/>
        <v>18.66</v>
      </c>
      <c r="E7" s="4">
        <f t="shared" si="1"/>
        <v>58.405799999999999</v>
      </c>
      <c r="F7" s="4">
        <f t="shared" si="2"/>
        <v>972.74580000000003</v>
      </c>
    </row>
    <row r="8" spans="1:6" ht="15.75">
      <c r="A8" s="2">
        <v>2135</v>
      </c>
      <c r="B8" s="2" t="s">
        <v>12</v>
      </c>
      <c r="C8" s="4">
        <v>409</v>
      </c>
      <c r="D8" s="4">
        <f t="shared" si="0"/>
        <v>8.18</v>
      </c>
      <c r="E8" s="4">
        <f t="shared" si="1"/>
        <v>25.603400000000001</v>
      </c>
      <c r="F8" s="4">
        <f t="shared" si="2"/>
        <v>426.42340000000002</v>
      </c>
    </row>
    <row r="9" spans="1:6" ht="15.75">
      <c r="A9" s="2">
        <v>2466</v>
      </c>
      <c r="B9" s="2" t="s">
        <v>12</v>
      </c>
      <c r="C9" s="4">
        <v>951</v>
      </c>
      <c r="D9" s="4">
        <f t="shared" si="0"/>
        <v>19.02</v>
      </c>
      <c r="E9" s="4">
        <f t="shared" si="1"/>
        <v>59.532600000000002</v>
      </c>
      <c r="F9" s="4">
        <f t="shared" si="2"/>
        <v>991.51260000000002</v>
      </c>
    </row>
    <row r="10" spans="1:6" ht="15.75">
      <c r="A10" s="2">
        <v>1053</v>
      </c>
      <c r="B10" s="2" t="s">
        <v>13</v>
      </c>
      <c r="C10" s="4">
        <v>978</v>
      </c>
      <c r="D10" s="4">
        <f t="shared" si="0"/>
        <v>19.559999999999999</v>
      </c>
      <c r="E10" s="4">
        <f t="shared" si="1"/>
        <v>61.222799999999999</v>
      </c>
      <c r="F10" s="4">
        <f t="shared" si="2"/>
        <v>1019.6628000000001</v>
      </c>
    </row>
    <row r="11" spans="1:6" ht="15.75" hidden="1">
      <c r="A11" s="2">
        <v>1141</v>
      </c>
      <c r="B11" s="2" t="s">
        <v>14</v>
      </c>
      <c r="C11" s="4">
        <v>766</v>
      </c>
      <c r="D11" s="4">
        <f t="shared" si="0"/>
        <v>15.32</v>
      </c>
      <c r="E11" s="4">
        <f t="shared" si="1"/>
        <v>47.951599999999999</v>
      </c>
      <c r="F11" s="4">
        <f t="shared" si="2"/>
        <v>798.63159999999993</v>
      </c>
    </row>
    <row r="12" spans="1:6" ht="15.75" hidden="1">
      <c r="A12" s="2">
        <v>2452</v>
      </c>
      <c r="B12" s="2" t="s">
        <v>14</v>
      </c>
      <c r="C12" s="4">
        <v>533</v>
      </c>
      <c r="D12" s="4">
        <f t="shared" si="0"/>
        <v>10.66</v>
      </c>
      <c r="E12" s="4">
        <f t="shared" si="1"/>
        <v>33.3658</v>
      </c>
      <c r="F12" s="4">
        <f t="shared" si="2"/>
        <v>555.70580000000007</v>
      </c>
    </row>
    <row r="13" spans="1:6" ht="15.75" hidden="1">
      <c r="A13" s="2">
        <v>2676</v>
      </c>
      <c r="B13" s="2" t="s">
        <v>14</v>
      </c>
      <c r="C13" s="4">
        <v>1506</v>
      </c>
      <c r="D13" s="4">
        <f t="shared" si="0"/>
        <v>30.12</v>
      </c>
      <c r="E13" s="4">
        <f t="shared" si="1"/>
        <v>94.275600000000011</v>
      </c>
      <c r="F13" s="4">
        <f t="shared" si="2"/>
        <v>1570.1556</v>
      </c>
    </row>
    <row r="14" spans="1:6" ht="15.75">
      <c r="A14" s="2">
        <v>1272</v>
      </c>
      <c r="B14" s="2" t="s">
        <v>15</v>
      </c>
      <c r="C14" s="4">
        <v>720</v>
      </c>
      <c r="D14" s="4">
        <f t="shared" si="0"/>
        <v>14.4</v>
      </c>
      <c r="E14" s="4">
        <f t="shared" si="1"/>
        <v>45.072000000000003</v>
      </c>
      <c r="F14" s="4">
        <f t="shared" si="2"/>
        <v>750.67200000000003</v>
      </c>
    </row>
    <row r="15" spans="1:6" ht="15.75">
      <c r="A15" s="2">
        <v>1196</v>
      </c>
      <c r="B15" s="2" t="s">
        <v>15</v>
      </c>
      <c r="C15" s="4">
        <v>1092</v>
      </c>
      <c r="D15" s="4">
        <f t="shared" si="0"/>
        <v>21.84</v>
      </c>
      <c r="E15" s="4">
        <f t="shared" si="1"/>
        <v>68.359200000000001</v>
      </c>
      <c r="F15" s="4">
        <f t="shared" si="2"/>
        <v>1138.5192000000002</v>
      </c>
    </row>
    <row r="16" spans="1:6" ht="15.75">
      <c r="A16" s="2">
        <v>2331</v>
      </c>
      <c r="B16" s="2" t="s">
        <v>15</v>
      </c>
      <c r="C16" s="4">
        <v>665</v>
      </c>
      <c r="D16" s="4">
        <f t="shared" si="0"/>
        <v>13.3</v>
      </c>
      <c r="E16" s="4">
        <f t="shared" si="1"/>
        <v>41.629000000000005</v>
      </c>
      <c r="F16" s="4">
        <f t="shared" si="2"/>
        <v>693.32900000000006</v>
      </c>
    </row>
    <row r="17" spans="1:6" ht="15.75" hidden="1">
      <c r="A17" s="2">
        <v>1244</v>
      </c>
      <c r="B17" s="2" t="s">
        <v>16</v>
      </c>
      <c r="C17" s="4">
        <v>1145</v>
      </c>
      <c r="D17" s="4">
        <f t="shared" si="0"/>
        <v>22.900000000000002</v>
      </c>
      <c r="E17" s="4">
        <f t="shared" si="1"/>
        <v>71.677000000000007</v>
      </c>
      <c r="F17" s="4">
        <f t="shared" si="2"/>
        <v>1193.7769999999998</v>
      </c>
    </row>
    <row r="18" spans="1:6" ht="15.75" hidden="1">
      <c r="A18" s="2">
        <v>2648</v>
      </c>
      <c r="B18" s="2" t="s">
        <v>16</v>
      </c>
      <c r="C18" s="4">
        <v>883</v>
      </c>
      <c r="D18" s="4">
        <f t="shared" si="0"/>
        <v>17.66</v>
      </c>
      <c r="E18" s="4">
        <f t="shared" si="1"/>
        <v>55.275800000000004</v>
      </c>
      <c r="F18" s="4">
        <f t="shared" si="2"/>
        <v>920.61580000000004</v>
      </c>
    </row>
    <row r="19" spans="1:6" ht="15.75">
      <c r="A19" s="2">
        <v>1245</v>
      </c>
      <c r="B19" s="2" t="s">
        <v>17</v>
      </c>
      <c r="C19" s="4">
        <v>1254</v>
      </c>
      <c r="D19" s="4">
        <f t="shared" si="0"/>
        <v>25.080000000000002</v>
      </c>
      <c r="E19" s="4">
        <f t="shared" si="1"/>
        <v>78.500399999999999</v>
      </c>
      <c r="F19" s="4">
        <f t="shared" si="2"/>
        <v>1307.4204</v>
      </c>
    </row>
    <row r="20" spans="1:6" ht="15.75">
      <c r="A20" s="2">
        <v>1127</v>
      </c>
      <c r="B20" s="2" t="s">
        <v>17</v>
      </c>
      <c r="C20" s="4">
        <v>1537</v>
      </c>
      <c r="D20" s="4">
        <f t="shared" si="0"/>
        <v>30.740000000000002</v>
      </c>
      <c r="E20" s="4">
        <f t="shared" si="1"/>
        <v>96.216200000000001</v>
      </c>
      <c r="F20" s="4">
        <f t="shared" si="2"/>
        <v>1602.4762000000001</v>
      </c>
    </row>
  </sheetData>
  <autoFilter ref="A5:F20" xr:uid="{15585246-6054-4931-9CCC-6E5BCB153643}">
    <filterColumn colId="1">
      <filters>
        <filter val="American Cotton"/>
        <filter val="Cleaning Services"/>
        <filter val="Energy Plus"/>
        <filter val="Far East Graphics"/>
        <filter val="International Footwear, Ltd."/>
        <filter val="Package Plus"/>
      </filters>
    </filterColumn>
    <sortState xmlns:xlrd2="http://schemas.microsoft.com/office/spreadsheetml/2017/richdata2" ref="A6:F20">
      <sortCondition ref="B5:B20"/>
    </sortState>
  </autoFilter>
  <mergeCells count="2">
    <mergeCell ref="A1:F1"/>
    <mergeCell ref="A2:F2"/>
  </mergeCells>
  <pageMargins left="0.7" right="0.7" top="0.75" bottom="0.75" header="0.3" footer="0.3"/>
  <pageSetup orientation="landscape" horizontalDpi="300" verticalDpi="300" r:id="rId1"/>
  <headerFooter>
    <oddFooter>&amp;RMember ID
Job 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6D3715-C15B-453A-A14C-1DDDF9D0E295}"/>
</file>

<file path=customXml/itemProps2.xml><?xml version="1.0" encoding="utf-8"?>
<ds:datastoreItem xmlns:ds="http://schemas.openxmlformats.org/officeDocument/2006/customXml" ds:itemID="{48F584F5-592B-4F55-8419-913E493ECA8F}"/>
</file>

<file path=customXml/itemProps3.xml><?xml version="1.0" encoding="utf-8"?>
<ds:datastoreItem xmlns:ds="http://schemas.openxmlformats.org/officeDocument/2006/customXml" ds:itemID="{9C2DB16A-0F7D-464E-9266-6BE334C0C9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Bryant</dc:creator>
  <cp:keywords/>
  <dc:description/>
  <cp:lastModifiedBy>Janice R. Gilbert</cp:lastModifiedBy>
  <cp:revision/>
  <dcterms:created xsi:type="dcterms:W3CDTF">2022-01-22T19:26:47Z</dcterms:created>
  <dcterms:modified xsi:type="dcterms:W3CDTF">2022-07-13T22:25:20Z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