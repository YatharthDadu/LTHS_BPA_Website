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cnew\Desktop\2022 State Tests\200s\215 Grader File\"/>
    </mc:Choice>
  </mc:AlternateContent>
  <bookViews>
    <workbookView xWindow="0" yWindow="0" windowWidth="21570" windowHeight="8745"/>
  </bookViews>
  <sheets>
    <sheet name="Job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  <c r="E12" i="1"/>
  <c r="B10" i="1"/>
  <c r="E9" i="1"/>
  <c r="E10" i="1"/>
  <c r="B11" i="1" s="1"/>
  <c r="E8" i="1"/>
  <c r="E3" i="1"/>
  <c r="E4" i="1"/>
  <c r="E5" i="1"/>
  <c r="E6" i="1"/>
  <c r="E7" i="1"/>
  <c r="E2" i="1"/>
  <c r="B9" i="1"/>
</calcChain>
</file>

<file path=xl/sharedStrings.xml><?xml version="1.0" encoding="utf-8"?>
<sst xmlns="http://schemas.openxmlformats.org/spreadsheetml/2006/main" count="17" uniqueCount="17">
  <si>
    <t>Description</t>
  </si>
  <si>
    <t>Cost</t>
  </si>
  <si>
    <t>Rate</t>
  </si>
  <si>
    <t>Life</t>
  </si>
  <si>
    <t>Cash</t>
  </si>
  <si>
    <t>Net</t>
  </si>
  <si>
    <t>Office Building</t>
  </si>
  <si>
    <t>Auto</t>
  </si>
  <si>
    <t>Fax</t>
  </si>
  <si>
    <t>Computer</t>
  </si>
  <si>
    <t>Printer</t>
  </si>
  <si>
    <t>Telephone System</t>
  </si>
  <si>
    <t>Office Expenses</t>
  </si>
  <si>
    <t>Salaries</t>
  </si>
  <si>
    <t>Employment Tax</t>
  </si>
  <si>
    <t>Sales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</si>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</sst>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_);[Red]\(&quot;$&quot;#,##0.00\)"/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7">
    <xf numFmtId="0" fontId="0" fillId="0" borderId="0" xfId="0"/>
    <xf numFmtId="0" fontId="3" fillId="0" borderId="0" xfId="0" applyFont="1" applyBorder="1" applyAlignment="1">
      <alignment vertical="center"/>
    </xf>
    <xf numFmtId="4" fontId="3" fillId="0" borderId="0" xfId="0" applyNumberFormat="1" applyFont="1" applyBorder="1" applyAlignment="1">
      <alignment vertical="center"/>
    </xf>
    <xf numFmtId="164" fontId="3" fillId="0" borderId="0" xfId="1" applyNumberFormat="1" applyFont="1" applyBorder="1" applyAlignment="1">
      <alignment horizontal="right" vertical="center"/>
    </xf>
    <xf numFmtId="1" fontId="3" fillId="0" borderId="0" xfId="0" applyNumberFormat="1" applyFont="1" applyBorder="1" applyAlignment="1">
      <alignment vertical="center"/>
    </xf>
    <xf numFmtId="8" fontId="3" fillId="0" borderId="0" xfId="0" applyNumberFormat="1" applyFont="1" applyBorder="1" applyAlignment="1">
      <alignment vertical="center"/>
    </xf>
    <xf numFmtId="0" fontId="2" fillId="0" borderId="1" xfId="2" applyAlignment="1">
      <alignment vertical="center"/>
    </xf>
  </cellXfs>
  <cellStyles count="3">
    <cellStyle name="Heading 2" xfId="2" builtinId="17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Breakdown of Monthly Expenses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C0-44A7-910E-A1D10E883F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C0-44A7-910E-A1D10E883F8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1C0-44A7-910E-A1D10E883F8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1C0-44A7-910E-A1D10E883F8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1C0-44A7-910E-A1D10E883F8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1C0-44A7-910E-A1D10E883F8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1C0-44A7-910E-A1D10E883F8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1C0-44A7-910E-A1D10E883F8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1C0-44A7-910E-A1D10E883F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'Job 1'!$A$2:$A$10</c:f>
              <c:strCache>
                <c:ptCount val="9"/>
                <c:pt idx="0">
                  <c:v>Office Building</c:v>
                </c:pt>
                <c:pt idx="1">
                  <c:v>Auto</c:v>
                </c:pt>
                <c:pt idx="2">
                  <c:v>Fax</c:v>
                </c:pt>
                <c:pt idx="3">
                  <c:v>Computer</c:v>
                </c:pt>
                <c:pt idx="4">
                  <c:v>Printer</c:v>
                </c:pt>
                <c:pt idx="5">
                  <c:v>Telephone System</c:v>
                </c:pt>
                <c:pt idx="6">
                  <c:v>Office Expenses</c:v>
                </c:pt>
                <c:pt idx="7">
                  <c:v>Salaries</c:v>
                </c:pt>
                <c:pt idx="8">
                  <c:v>Employment Tax</c:v>
                </c:pt>
              </c:strCache>
            </c:strRef>
          </c:cat>
          <c:val>
            <c:numRef>
              <c:f>'Job 1'!$E$2:$E$10</c:f>
              <c:numCache>
                <c:formatCode>"$"#,##0.00_);[Red]\("$"#,##0.00\)</c:formatCode>
                <c:ptCount val="9"/>
                <c:pt idx="0">
                  <c:v>-758.68369640728145</c:v>
                </c:pt>
                <c:pt idx="1">
                  <c:v>-536.76258613809648</c:v>
                </c:pt>
                <c:pt idx="2">
                  <c:v>-5.8102007833449401</c:v>
                </c:pt>
                <c:pt idx="3">
                  <c:v>-18.137359483580983</c:v>
                </c:pt>
                <c:pt idx="4">
                  <c:v>-17.539081059477834</c:v>
                </c:pt>
                <c:pt idx="5">
                  <c:v>-5.8079634762943417</c:v>
                </c:pt>
                <c:pt idx="6" formatCode="#,##0.00">
                  <c:v>-183.33333333333334</c:v>
                </c:pt>
                <c:pt idx="7" formatCode="#,##0.00">
                  <c:v>-545.71527777777771</c:v>
                </c:pt>
                <c:pt idx="8" formatCode="#,##0.00">
                  <c:v>-41.747218749999995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2-4B9C-85E0-2E1CF71343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0</xdr:row>
      <xdr:rowOff>152399</xdr:rowOff>
    </xdr:from>
    <xdr:to>
      <xdr:col>14</xdr:col>
      <xdr:colOff>247650</xdr:colOff>
      <xdr:row>16</xdr:row>
      <xdr:rowOff>47624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B21" sqref="B21"/>
    </sheetView>
  </sheetViews>
  <sheetFormatPr defaultRowHeight="15" x14ac:dyDescent="0.25"/>
  <cols>
    <col min="1" max="1" width="17.7109375" bestFit="1" customWidth="1"/>
    <col min="2" max="2" width="11.28515625" bestFit="1" customWidth="1"/>
    <col min="3" max="4" width="9.28515625" bestFit="1" customWidth="1"/>
    <col min="5" max="5" width="9.85546875" bestFit="1" customWidth="1"/>
    <col min="6" max="6" width="12.85546875" bestFit="1" customWidth="1"/>
  </cols>
  <sheetData>
    <row r="1" spans="1:6" ht="18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ht="16.5" thickTop="1" x14ac:dyDescent="0.25">
      <c r="A2" s="1" t="s">
        <v>6</v>
      </c>
      <c r="B2" s="2">
        <v>123873</v>
      </c>
      <c r="C2" s="3">
        <v>6.2E-2</v>
      </c>
      <c r="D2" s="4">
        <v>30</v>
      </c>
      <c r="E2" s="5">
        <f>PMT((C2/12),(D2*12),B2)</f>
        <v>-758.68369640728145</v>
      </c>
      <c r="F2" s="1">
        <v>-758.68369640728145</v>
      </c>
    </row>
    <row r="3" spans="1:6" ht="15.75" x14ac:dyDescent="0.25">
      <c r="A3" s="1" t="s">
        <v>7</v>
      </c>
      <c r="B3" s="2">
        <v>28582</v>
      </c>
      <c r="C3" s="3">
        <v>4.8000000000000001E-2</v>
      </c>
      <c r="D3" s="4">
        <v>5</v>
      </c>
      <c r="E3" s="5">
        <f t="shared" ref="E3:E7" si="0">PMT((C3/12),(D3*12),B3)</f>
        <v>-536.76258613809648</v>
      </c>
      <c r="F3" s="1">
        <v>-536.76258613809648</v>
      </c>
    </row>
    <row r="4" spans="1:6" ht="15.75" x14ac:dyDescent="0.25">
      <c r="A4" s="1" t="s">
        <v>8</v>
      </c>
      <c r="B4" s="2">
        <v>286.55</v>
      </c>
      <c r="C4" s="3">
        <v>0.08</v>
      </c>
      <c r="D4" s="4">
        <v>5</v>
      </c>
      <c r="E4" s="5">
        <f t="shared" si="0"/>
        <v>-5.8102007833449401</v>
      </c>
      <c r="F4" s="1">
        <v>-5.8102007833449401</v>
      </c>
    </row>
    <row r="5" spans="1:6" ht="15.75" x14ac:dyDescent="0.25">
      <c r="A5" s="1" t="s">
        <v>9</v>
      </c>
      <c r="B5" s="2">
        <v>1283</v>
      </c>
      <c r="C5" s="3">
        <v>0.08</v>
      </c>
      <c r="D5" s="4">
        <v>8</v>
      </c>
      <c r="E5" s="5">
        <f t="shared" si="0"/>
        <v>-18.137359483580983</v>
      </c>
      <c r="F5" s="1">
        <v>-18.137359483580983</v>
      </c>
    </row>
    <row r="6" spans="1:6" ht="15.75" x14ac:dyDescent="0.25">
      <c r="A6" s="1" t="s">
        <v>10</v>
      </c>
      <c r="B6" s="2">
        <v>865</v>
      </c>
      <c r="C6" s="3">
        <v>0.08</v>
      </c>
      <c r="D6" s="4">
        <v>5</v>
      </c>
      <c r="E6" s="5">
        <f t="shared" si="0"/>
        <v>-17.539081059477834</v>
      </c>
      <c r="F6" s="1">
        <v>-17.539081059477834</v>
      </c>
    </row>
    <row r="7" spans="1:6" ht="15.75" x14ac:dyDescent="0.25">
      <c r="A7" s="1" t="s">
        <v>11</v>
      </c>
      <c r="B7" s="2">
        <v>426</v>
      </c>
      <c r="C7" s="3">
        <v>7.0000000000000007E-2</v>
      </c>
      <c r="D7" s="4">
        <v>8</v>
      </c>
      <c r="E7" s="5">
        <f t="shared" si="0"/>
        <v>-5.8079634762943417</v>
      </c>
      <c r="F7" s="1">
        <v>-5.8079634762943417</v>
      </c>
    </row>
    <row r="8" spans="1:6" ht="15.75" x14ac:dyDescent="0.25">
      <c r="A8" s="1" t="s">
        <v>12</v>
      </c>
      <c r="B8" s="2">
        <v>2200</v>
      </c>
      <c r="C8" s="1"/>
      <c r="D8" s="1"/>
      <c r="E8" s="2">
        <f>-B8/12</f>
        <v>-183.33333333333334</v>
      </c>
      <c r="F8" s="1">
        <v>-183.33333333333334</v>
      </c>
    </row>
    <row r="9" spans="1:6" ht="15.75" x14ac:dyDescent="0.25">
      <c r="A9" s="1" t="s">
        <v>13</v>
      </c>
      <c r="B9" s="1">
        <f>78583/12</f>
        <v>6548.583333333333</v>
      </c>
      <c r="C9" s="1"/>
      <c r="D9" s="1"/>
      <c r="E9" s="2">
        <f t="shared" ref="E9:E10" si="1">-B9/12</f>
        <v>-545.71527777777771</v>
      </c>
      <c r="F9" s="1">
        <v>-545.71527777777771</v>
      </c>
    </row>
    <row r="10" spans="1:6" ht="15.75" x14ac:dyDescent="0.25">
      <c r="A10" s="1" t="s">
        <v>14</v>
      </c>
      <c r="B10" s="1">
        <f>B9*7.65%</f>
        <v>500.96662499999996</v>
      </c>
      <c r="C10" s="1"/>
      <c r="D10" s="1"/>
      <c r="E10" s="2">
        <f t="shared" si="1"/>
        <v>-41.747218749999995</v>
      </c>
      <c r="F10" s="1">
        <v>-41.747218749999995</v>
      </c>
    </row>
    <row r="11" spans="1:6" ht="15.75" x14ac:dyDescent="0.25">
      <c r="A11" s="1" t="s">
        <v>15</v>
      </c>
      <c r="B11" s="1">
        <f>ABS((SUM(E2:E10)))</f>
        <v>2113.5367172091869</v>
      </c>
      <c r="C11" s="1"/>
      <c r="D11" s="1"/>
      <c r="E11" s="1">
        <v>2113.5367172091869</v>
      </c>
      <c r="F11" s="1">
        <v>5113.5367172091865</v>
      </c>
    </row>
    <row r="12" spans="1:6" ht="15.75" x14ac:dyDescent="0.25">
      <c r="A12" s="1" t="s">
        <v>16</v>
      </c>
      <c r="B12" s="1"/>
      <c r="C12" s="1"/>
      <c r="D12" s="1"/>
      <c r="E12" s="5">
        <f>SUM(E2:E11)</f>
        <v>0</v>
      </c>
      <c r="F12" s="5">
        <f>SUM(F2:F11)</f>
        <v>2999.9999999999995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Dawson, John</dc:creator>
  <cp:lastModifiedBy>Amber McNew</cp:lastModifiedBy>
  <dcterms:created xsi:type="dcterms:W3CDTF">2021-07-13T13:18:15Z</dcterms:created>
  <dcterms:modified xsi:type="dcterms:W3CDTF">2021-11-03T16:46:07Z</dcterms:modified>
</cp:coreProperties>
</file>