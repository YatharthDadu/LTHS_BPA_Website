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dawson\Documents\BPA\Folder Audited Contests\Fundamental Spreadsheet\State\"/>
    </mc:Choice>
  </mc:AlternateContent>
  <bookViews>
    <workbookView xWindow="0" yWindow="0" windowWidth="16830" windowHeight="9180" activeTab="3"/>
  </bookViews>
  <sheets>
    <sheet name="Job 1-Unformatted" sheetId="1" r:id="rId1"/>
    <sheet name="Job 1-Formulas" sheetId="5" r:id="rId2"/>
    <sheet name="Job 2-Formatted" sheetId="2" r:id="rId3"/>
    <sheet name="Chart1" sheetId="4" r:id="rId4"/>
    <sheet name="Job 3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5" l="1"/>
  <c r="F17" i="5"/>
  <c r="D17" i="5"/>
  <c r="B17" i="5"/>
  <c r="H16" i="5"/>
  <c r="F16" i="5"/>
  <c r="D16" i="5"/>
  <c r="B16" i="5"/>
  <c r="H15" i="5"/>
  <c r="F15" i="5"/>
  <c r="D15" i="5"/>
  <c r="B15" i="5"/>
  <c r="H13" i="5"/>
  <c r="F13" i="5"/>
  <c r="D13" i="5"/>
  <c r="B13" i="5"/>
  <c r="C5" i="5" s="1"/>
  <c r="J12" i="5"/>
  <c r="K12" i="5" s="1"/>
  <c r="I12" i="5"/>
  <c r="G12" i="5"/>
  <c r="E12" i="5"/>
  <c r="C12" i="5"/>
  <c r="J11" i="5"/>
  <c r="K11" i="5" s="1"/>
  <c r="I11" i="5"/>
  <c r="G11" i="5"/>
  <c r="E11" i="5"/>
  <c r="C11" i="5"/>
  <c r="J10" i="5"/>
  <c r="K10" i="5" s="1"/>
  <c r="I10" i="5"/>
  <c r="G10" i="5"/>
  <c r="E10" i="5"/>
  <c r="C10" i="5"/>
  <c r="J9" i="5"/>
  <c r="I9" i="5"/>
  <c r="G9" i="5"/>
  <c r="E9" i="5"/>
  <c r="C9" i="5"/>
  <c r="J8" i="5"/>
  <c r="I8" i="5"/>
  <c r="G8" i="5"/>
  <c r="E8" i="5"/>
  <c r="C8" i="5"/>
  <c r="J7" i="5"/>
  <c r="I7" i="5"/>
  <c r="G7" i="5"/>
  <c r="E7" i="5"/>
  <c r="C7" i="5"/>
  <c r="J6" i="5"/>
  <c r="K6" i="5" s="1"/>
  <c r="I6" i="5"/>
  <c r="G6" i="5"/>
  <c r="E6" i="5"/>
  <c r="C6" i="5"/>
  <c r="J5" i="5"/>
  <c r="K5" i="5" s="1"/>
  <c r="I5" i="5"/>
  <c r="G5" i="5"/>
  <c r="E5" i="5"/>
  <c r="J4" i="5"/>
  <c r="J13" i="5" s="1"/>
  <c r="N3" i="5" s="1"/>
  <c r="N5" i="5" s="1"/>
  <c r="I4" i="5"/>
  <c r="G4" i="5"/>
  <c r="E4" i="5"/>
  <c r="K9" i="5" l="1"/>
  <c r="K8" i="5"/>
  <c r="K7" i="5"/>
  <c r="K4" i="5"/>
  <c r="C4" i="5"/>
  <c r="H17" i="3"/>
  <c r="F17" i="3"/>
  <c r="D17" i="3"/>
  <c r="B17" i="3"/>
  <c r="H16" i="3"/>
  <c r="F16" i="3"/>
  <c r="D16" i="3"/>
  <c r="B16" i="3"/>
  <c r="H15" i="3"/>
  <c r="F15" i="3"/>
  <c r="D15" i="3"/>
  <c r="B15" i="3"/>
  <c r="H13" i="3"/>
  <c r="I5" i="3" s="1"/>
  <c r="F13" i="3"/>
  <c r="D13" i="3"/>
  <c r="B13" i="3"/>
  <c r="J12" i="3"/>
  <c r="K12" i="3" s="1"/>
  <c r="I12" i="3"/>
  <c r="G12" i="3"/>
  <c r="E12" i="3"/>
  <c r="C12" i="3"/>
  <c r="J11" i="3"/>
  <c r="K11" i="3" s="1"/>
  <c r="G11" i="3"/>
  <c r="E11" i="3"/>
  <c r="C11" i="3"/>
  <c r="J10" i="3"/>
  <c r="K10" i="3" s="1"/>
  <c r="I10" i="3"/>
  <c r="G10" i="3"/>
  <c r="E10" i="3"/>
  <c r="C10" i="3"/>
  <c r="J9" i="3"/>
  <c r="I9" i="3"/>
  <c r="G9" i="3"/>
  <c r="E9" i="3"/>
  <c r="C9" i="3"/>
  <c r="J8" i="3"/>
  <c r="I8" i="3"/>
  <c r="G8" i="3"/>
  <c r="E8" i="3"/>
  <c r="C8" i="3"/>
  <c r="J7" i="3"/>
  <c r="K7" i="3" s="1"/>
  <c r="I7" i="3"/>
  <c r="G7" i="3"/>
  <c r="E7" i="3"/>
  <c r="C7" i="3"/>
  <c r="J6" i="3"/>
  <c r="K6" i="3" s="1"/>
  <c r="I6" i="3"/>
  <c r="G6" i="3"/>
  <c r="E6" i="3"/>
  <c r="C6" i="3"/>
  <c r="J5" i="3"/>
  <c r="K5" i="3" s="1"/>
  <c r="G5" i="3"/>
  <c r="E5" i="3"/>
  <c r="C5" i="3"/>
  <c r="J4" i="3"/>
  <c r="J13" i="3" s="1"/>
  <c r="N3" i="3" s="1"/>
  <c r="N5" i="3" s="1"/>
  <c r="G4" i="3"/>
  <c r="E4" i="3"/>
  <c r="C4" i="3"/>
  <c r="H17" i="2"/>
  <c r="F17" i="2"/>
  <c r="D17" i="2"/>
  <c r="B17" i="2"/>
  <c r="H16" i="2"/>
  <c r="F16" i="2"/>
  <c r="D16" i="2"/>
  <c r="B16" i="2"/>
  <c r="H15" i="2"/>
  <c r="F15" i="2"/>
  <c r="D15" i="2"/>
  <c r="B15" i="2"/>
  <c r="H13" i="2"/>
  <c r="I10" i="2" s="1"/>
  <c r="F13" i="2"/>
  <c r="G4" i="2" s="1"/>
  <c r="D13" i="2"/>
  <c r="E6" i="2" s="1"/>
  <c r="B13" i="2"/>
  <c r="C11" i="2" s="1"/>
  <c r="J6" i="2"/>
  <c r="J9" i="2"/>
  <c r="I9" i="2"/>
  <c r="E9" i="2"/>
  <c r="C9" i="2"/>
  <c r="J12" i="2"/>
  <c r="J10" i="2"/>
  <c r="E10" i="2"/>
  <c r="J4" i="2"/>
  <c r="I4" i="2"/>
  <c r="J5" i="2"/>
  <c r="I5" i="2"/>
  <c r="G5" i="2"/>
  <c r="E5" i="2"/>
  <c r="J8" i="2"/>
  <c r="J11" i="2"/>
  <c r="I11" i="2"/>
  <c r="E11" i="2"/>
  <c r="J7" i="2"/>
  <c r="I5" i="1"/>
  <c r="I6" i="1"/>
  <c r="I7" i="1"/>
  <c r="I8" i="1"/>
  <c r="I9" i="1"/>
  <c r="I10" i="1"/>
  <c r="I11" i="1"/>
  <c r="I12" i="1"/>
  <c r="I4" i="1"/>
  <c r="G5" i="1"/>
  <c r="G6" i="1"/>
  <c r="G7" i="1"/>
  <c r="G8" i="1"/>
  <c r="G9" i="1"/>
  <c r="G10" i="1"/>
  <c r="G11" i="1"/>
  <c r="G12" i="1"/>
  <c r="G4" i="1"/>
  <c r="E5" i="1"/>
  <c r="E6" i="1"/>
  <c r="E7" i="1"/>
  <c r="E8" i="1"/>
  <c r="E9" i="1"/>
  <c r="E10" i="1"/>
  <c r="E11" i="1"/>
  <c r="E12" i="1"/>
  <c r="E4" i="1"/>
  <c r="C5" i="1"/>
  <c r="C6" i="1"/>
  <c r="C7" i="1"/>
  <c r="C8" i="1"/>
  <c r="C9" i="1"/>
  <c r="C10" i="1"/>
  <c r="C11" i="1"/>
  <c r="C12" i="1"/>
  <c r="J5" i="1"/>
  <c r="J6" i="1"/>
  <c r="J7" i="1"/>
  <c r="J8" i="1"/>
  <c r="J9" i="1"/>
  <c r="J10" i="1"/>
  <c r="J11" i="1"/>
  <c r="J12" i="1"/>
  <c r="J4" i="1"/>
  <c r="C4" i="1"/>
  <c r="D17" i="1"/>
  <c r="F17" i="1"/>
  <c r="H17" i="1"/>
  <c r="B17" i="1"/>
  <c r="D16" i="1"/>
  <c r="F16" i="1"/>
  <c r="H16" i="1"/>
  <c r="B16" i="1"/>
  <c r="D15" i="1"/>
  <c r="F15" i="1"/>
  <c r="H15" i="1"/>
  <c r="B15" i="1"/>
  <c r="D13" i="1"/>
  <c r="F13" i="1"/>
  <c r="H13" i="1"/>
  <c r="B13" i="1"/>
  <c r="K9" i="3" l="1"/>
  <c r="K8" i="3"/>
  <c r="K4" i="3"/>
  <c r="I11" i="3"/>
  <c r="I4" i="3"/>
  <c r="E8" i="2"/>
  <c r="E7" i="2"/>
  <c r="C4" i="2"/>
  <c r="C12" i="2"/>
  <c r="J13" i="2"/>
  <c r="N3" i="2" s="1"/>
  <c r="N5" i="2" s="1"/>
  <c r="C5" i="2"/>
  <c r="E4" i="2"/>
  <c r="E12" i="2"/>
  <c r="G8" i="2"/>
  <c r="G6" i="2"/>
  <c r="G11" i="2"/>
  <c r="I8" i="2"/>
  <c r="C10" i="2"/>
  <c r="G9" i="2"/>
  <c r="I6" i="2"/>
  <c r="G12" i="2"/>
  <c r="G7" i="2"/>
  <c r="G10" i="2"/>
  <c r="I12" i="2"/>
  <c r="K9" i="2"/>
  <c r="I7" i="2"/>
  <c r="C8" i="2"/>
  <c r="C6" i="2"/>
  <c r="K4" i="2"/>
  <c r="C7" i="2"/>
  <c r="J13" i="1"/>
  <c r="K6" i="1" s="1"/>
  <c r="K11" i="1"/>
  <c r="K8" i="1"/>
  <c r="K5" i="1"/>
  <c r="K10" i="1"/>
  <c r="K9" i="1"/>
  <c r="K4" i="1"/>
  <c r="K7" i="1"/>
  <c r="K12" i="1"/>
  <c r="K10" i="2" l="1"/>
  <c r="K8" i="2"/>
  <c r="K12" i="2"/>
  <c r="K11" i="2"/>
  <c r="K7" i="2"/>
  <c r="K5" i="2"/>
  <c r="K6" i="2"/>
  <c r="N3" i="1"/>
  <c r="N5" i="1" s="1"/>
</calcChain>
</file>

<file path=xl/sharedStrings.xml><?xml version="1.0" encoding="utf-8"?>
<sst xmlns="http://schemas.openxmlformats.org/spreadsheetml/2006/main" count="112" uniqueCount="29">
  <si>
    <t>Business Positions</t>
  </si>
  <si>
    <t>Previous Year Total</t>
  </si>
  <si>
    <t>This Year</t>
  </si>
  <si>
    <t>% Increase</t>
  </si>
  <si>
    <t>January</t>
  </si>
  <si>
    <t>February</t>
  </si>
  <si>
    <t>March</t>
  </si>
  <si>
    <t>April</t>
  </si>
  <si>
    <t>Total</t>
  </si>
  <si>
    <t>Provo</t>
  </si>
  <si>
    <t>Boise</t>
  </si>
  <si>
    <t>Toledo</t>
  </si>
  <si>
    <t>San Francisco</t>
  </si>
  <si>
    <t>San Antonio</t>
  </si>
  <si>
    <t>Toronto</t>
  </si>
  <si>
    <t>Minneapolis</t>
  </si>
  <si>
    <t>Boston</t>
  </si>
  <si>
    <t>Charlotte</t>
  </si>
  <si>
    <t>% of Total</t>
  </si>
  <si>
    <t>Average</t>
  </si>
  <si>
    <t>Maximum</t>
  </si>
  <si>
    <t>Minimum</t>
  </si>
  <si>
    <t>January %</t>
  </si>
  <si>
    <t>February %</t>
  </si>
  <si>
    <t>March %</t>
  </si>
  <si>
    <t>April %</t>
  </si>
  <si>
    <t>Digitial Solutions Employment Consulting Firm</t>
  </si>
  <si>
    <t>Digital Soltuions Employment Consulting Firm</t>
  </si>
  <si>
    <t>Digital Solutions Employment Consulting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</si>
</sst>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164" fontId="4" fillId="0" borderId="0" xfId="1" applyNumberFormat="1" applyFont="1"/>
    <xf numFmtId="1" fontId="4" fillId="0" borderId="0" xfId="0" applyNumberFormat="1" applyFont="1"/>
    <xf numFmtId="0" fontId="4" fillId="0" borderId="2" xfId="0" applyFont="1" applyBorder="1"/>
    <xf numFmtId="9" fontId="4" fillId="0" borderId="3" xfId="1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/>
    <xf numFmtId="9" fontId="4" fillId="0" borderId="6" xfId="1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/>
    <xf numFmtId="164" fontId="4" fillId="2" borderId="0" xfId="1" applyNumberFormat="1" applyFont="1" applyFill="1"/>
    <xf numFmtId="0" fontId="4" fillId="2" borderId="4" xfId="0" applyFont="1" applyFill="1" applyBorder="1"/>
    <xf numFmtId="164" fontId="4" fillId="2" borderId="4" xfId="1" applyNumberFormat="1" applyFont="1" applyFill="1" applyBorder="1"/>
    <xf numFmtId="0" fontId="2" fillId="0" borderId="1" xfId="2" applyAlignment="1">
      <alignment horizontal="center"/>
    </xf>
    <xf numFmtId="0" fontId="3" fillId="0" borderId="0" xfId="3" applyAlignment="1">
      <alignment horizontal="center"/>
    </xf>
    <xf numFmtId="0" fontId="4" fillId="0" borderId="0" xfId="0" applyFont="1" applyAlignment="1">
      <alignment horizontal="right"/>
    </xf>
  </cellXfs>
  <cellStyles count="4">
    <cellStyle name="Heading 1" xfId="2" builtinId="16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400" baseline="0">
                <a:latin typeface="Century Gothic" panose="020B0502020202020204" pitchFamily="34" charset="0"/>
              </a:rPr>
              <a:t>Business Positions Filled by City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'Job 3'!$B$3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15-4906-91AD-EAF19821A6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815-4906-91AD-EAF19821A6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15-4906-91AD-EAF19821A65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815-4906-91AD-EAF19821A65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6CBCA285-FBF7-46D5-99C8-07A5EDE61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815-4906-91AD-EAF19821A65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D1DAEED-288C-4F1A-9259-E03C101B5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815-4906-91AD-EAF19821A65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BA73FF7-DBDB-478C-981D-44242DE6E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815-4906-91AD-EAF19821A65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CDE07221-5C9C-4943-A030-AE3DED3F3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815-4906-91AD-EAF19821A65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2A61FD7B-873A-443A-82A7-870D72283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815-4906-91AD-EAF19821A65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B24B137-8863-45AD-A89A-173A32714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815-4906-91AD-EAF19821A65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6E4F6E97-B679-4B80-BDEE-5DA0746798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815-4906-91AD-EAF19821A65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E700EFA-7D57-4F04-AFE6-828975C59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815-4906-91AD-EAF19821A65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5AF7586-86D0-4365-A19A-D17C86205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815-4906-91AD-EAF19821A6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DataLabelsRange val="1"/>
                <c15:showLeaderLines val="0"/>
              </c:ext>
            </c:extLst>
          </c:dLbls>
          <c:cat>
            <c:strRef>
              <c:f>'Job 3'!$A$4:$A$12</c:f>
              <c:strCache>
                <c:ptCount val="9"/>
                <c:pt idx="0">
                  <c:v>San Antonio</c:v>
                </c:pt>
                <c:pt idx="1">
                  <c:v>San Francisco</c:v>
                </c:pt>
                <c:pt idx="2">
                  <c:v>Charlotte</c:v>
                </c:pt>
                <c:pt idx="3">
                  <c:v>Provo</c:v>
                </c:pt>
                <c:pt idx="4">
                  <c:v>Toledo</c:v>
                </c:pt>
                <c:pt idx="5">
                  <c:v>Boston</c:v>
                </c:pt>
                <c:pt idx="6">
                  <c:v>Toronto</c:v>
                </c:pt>
                <c:pt idx="7">
                  <c:v>Boise</c:v>
                </c:pt>
                <c:pt idx="8">
                  <c:v>Minneapolis</c:v>
                </c:pt>
              </c:strCache>
            </c:strRef>
          </c:cat>
          <c:val>
            <c:numRef>
              <c:f>'Job 3'!$B$4:$B$12</c:f>
              <c:numCache>
                <c:formatCode>General</c:formatCode>
                <c:ptCount val="9"/>
                <c:pt idx="0">
                  <c:v>181</c:v>
                </c:pt>
                <c:pt idx="1">
                  <c:v>131</c:v>
                </c:pt>
                <c:pt idx="2">
                  <c:v>121</c:v>
                </c:pt>
                <c:pt idx="3">
                  <c:v>122</c:v>
                </c:pt>
                <c:pt idx="4">
                  <c:v>121</c:v>
                </c:pt>
                <c:pt idx="5">
                  <c:v>93</c:v>
                </c:pt>
                <c:pt idx="6">
                  <c:v>175</c:v>
                </c:pt>
                <c:pt idx="7">
                  <c:v>98</c:v>
                </c:pt>
                <c:pt idx="8">
                  <c:v>68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'Job 3'!$C$4:$C$12</c15:f>
                <c15:dlblRangeCache>
                  <c:ptCount val="9"/>
                  <c:pt idx="0">
                    <c:v>16%</c:v>
                  </c:pt>
                  <c:pt idx="1">
                    <c:v>12%</c:v>
                  </c:pt>
                  <c:pt idx="2">
                    <c:v>11%</c:v>
                  </c:pt>
                  <c:pt idx="3">
                    <c:v>11%</c:v>
                  </c:pt>
                  <c:pt idx="4">
                    <c:v>11%</c:v>
                  </c:pt>
                  <c:pt idx="5">
                    <c:v>8%</c:v>
                  </c:pt>
                  <c:pt idx="6">
                    <c:v>16%</c:v>
                  </c:pt>
                  <c:pt idx="7">
                    <c:v>9%</c:v>
                  </c:pt>
                  <c:pt idx="8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815-4906-91AD-EAF19821A65B}"/>
            </c:ext>
          </c:extLst>
        </c:ser>
        <c:ser>
          <c:idx val="1"/>
          <c:order val="1"/>
          <c:tx>
            <c:strRef>
              <c:f>'Job 3'!$D$3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815-4906-91AD-EAF19821A6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815-4906-91AD-EAF19821A6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815-4906-91AD-EAF19821A6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815-4906-91AD-EAF19821A6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815-4906-91AD-EAF19821A6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815-4906-91AD-EAF19821A65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815-4906-91AD-EAF19821A65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C8DE7EAF-9857-4B5E-B8D8-CE75E633C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815-4906-91AD-EAF19821A65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F0AA544-247F-4946-9D77-B7873628A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815-4906-91AD-EAF19821A65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018E3E9-8B0A-42B3-9CAF-E48D9675F3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815-4906-91AD-EAF19821A65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4E3BFAB-D990-4CBD-87E3-B414E8B73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815-4906-91AD-EAF19821A65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787D554-35A0-4000-8EBB-53A034124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815-4906-91AD-EAF19821A65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84C50D75-635A-4E5D-9CD8-7A2727E8AA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815-4906-91AD-EAF19821A65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0ED215F3-E3C9-4037-8146-2B902A6A9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815-4906-91AD-EAF19821A65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16FA44E-DD45-4F66-AAD5-E9FEDE32AC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815-4906-91AD-EAF19821A65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DFA2ADFC-66A7-4748-9308-CED9C324F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815-4906-91AD-EAF19821A6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DataLabelsRange val="1"/>
                <c15:showLeaderLines val="0"/>
              </c:ext>
            </c:extLst>
          </c:dLbls>
          <c:cat>
            <c:strRef>
              <c:f>'Job 3'!$A$4:$A$12</c:f>
              <c:strCache>
                <c:ptCount val="9"/>
                <c:pt idx="0">
                  <c:v>San Antonio</c:v>
                </c:pt>
                <c:pt idx="1">
                  <c:v>San Francisco</c:v>
                </c:pt>
                <c:pt idx="2">
                  <c:v>Charlotte</c:v>
                </c:pt>
                <c:pt idx="3">
                  <c:v>Provo</c:v>
                </c:pt>
                <c:pt idx="4">
                  <c:v>Toledo</c:v>
                </c:pt>
                <c:pt idx="5">
                  <c:v>Boston</c:v>
                </c:pt>
                <c:pt idx="6">
                  <c:v>Toronto</c:v>
                </c:pt>
                <c:pt idx="7">
                  <c:v>Boise</c:v>
                </c:pt>
                <c:pt idx="8">
                  <c:v>Minneapolis</c:v>
                </c:pt>
              </c:strCache>
            </c:strRef>
          </c:cat>
          <c:val>
            <c:numRef>
              <c:f>'Job 3'!$D$4:$D$12</c:f>
              <c:numCache>
                <c:formatCode>General</c:formatCode>
                <c:ptCount val="9"/>
                <c:pt idx="0">
                  <c:v>201</c:v>
                </c:pt>
                <c:pt idx="1">
                  <c:v>233</c:v>
                </c:pt>
                <c:pt idx="2">
                  <c:v>180</c:v>
                </c:pt>
                <c:pt idx="3">
                  <c:v>101</c:v>
                </c:pt>
                <c:pt idx="4">
                  <c:v>155</c:v>
                </c:pt>
                <c:pt idx="5">
                  <c:v>102</c:v>
                </c:pt>
                <c:pt idx="6">
                  <c:v>122</c:v>
                </c:pt>
                <c:pt idx="7">
                  <c:v>77</c:v>
                </c:pt>
                <c:pt idx="8">
                  <c:v>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'Job 3'!$E$4:$E$12</c15:f>
                <c15:dlblRangeCache>
                  <c:ptCount val="9"/>
                  <c:pt idx="0">
                    <c:v>16%</c:v>
                  </c:pt>
                  <c:pt idx="1">
                    <c:v>19%</c:v>
                  </c:pt>
                  <c:pt idx="2">
                    <c:v>15%</c:v>
                  </c:pt>
                  <c:pt idx="3">
                    <c:v>8%</c:v>
                  </c:pt>
                  <c:pt idx="4">
                    <c:v>13%</c:v>
                  </c:pt>
                  <c:pt idx="5">
                    <c:v>8%</c:v>
                  </c:pt>
                  <c:pt idx="6">
                    <c:v>10%</c:v>
                  </c:pt>
                  <c:pt idx="7">
                    <c:v>6%</c:v>
                  </c:pt>
                  <c:pt idx="8">
                    <c:v>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815-4906-91AD-EAF19821A65B}"/>
            </c:ext>
          </c:extLst>
        </c:ser>
        <c:ser>
          <c:idx val="2"/>
          <c:order val="2"/>
          <c:tx>
            <c:strRef>
              <c:f>'Job 3'!$F$3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815-4906-91AD-EAF19821A6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15-4906-91AD-EAF19821A6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815-4906-91AD-EAF19821A6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7815-4906-91AD-EAF19821A65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815-4906-91AD-EAF19821A6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7815-4906-91AD-EAF19821A65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70EA52B2-B86C-414B-A391-26C586BE7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815-4906-91AD-EAF19821A65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B8BFE01-40CF-446C-A987-464230660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815-4906-91AD-EAF19821A65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58ACD67-1755-4041-94C0-8863B7E96E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815-4906-91AD-EAF19821A65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EFBD4DB-FC02-4D5E-B9B8-682FED5F8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815-4906-91AD-EAF19821A65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6DF1C81-804D-4FC4-8996-74C5730E06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815-4906-91AD-EAF19821A65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549FE58E-28CD-40D8-90CA-3DC7818E8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815-4906-91AD-EAF19821A65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2A8C5DA-81DA-4A91-8B52-BDCD507EB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815-4906-91AD-EAF19821A65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16E4936-AD9F-43FF-AF35-FA8FEE7F5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815-4906-91AD-EAF19821A65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831C6735-C0FD-4E0C-B41D-1E400C1CE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815-4906-91AD-EAF19821A6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DataLabelsRange val="1"/>
                <c15:showLeaderLines val="0"/>
              </c:ext>
            </c:extLst>
          </c:dLbls>
          <c:cat>
            <c:strRef>
              <c:f>'Job 3'!$A$4:$A$12</c:f>
              <c:strCache>
                <c:ptCount val="9"/>
                <c:pt idx="0">
                  <c:v>San Antonio</c:v>
                </c:pt>
                <c:pt idx="1">
                  <c:v>San Francisco</c:v>
                </c:pt>
                <c:pt idx="2">
                  <c:v>Charlotte</c:v>
                </c:pt>
                <c:pt idx="3">
                  <c:v>Provo</c:v>
                </c:pt>
                <c:pt idx="4">
                  <c:v>Toledo</c:v>
                </c:pt>
                <c:pt idx="5">
                  <c:v>Boston</c:v>
                </c:pt>
                <c:pt idx="6">
                  <c:v>Toronto</c:v>
                </c:pt>
                <c:pt idx="7">
                  <c:v>Boise</c:v>
                </c:pt>
                <c:pt idx="8">
                  <c:v>Minneapolis</c:v>
                </c:pt>
              </c:strCache>
            </c:strRef>
          </c:cat>
          <c:val>
            <c:numRef>
              <c:f>'Job 3'!$F$4:$F$12</c:f>
              <c:numCache>
                <c:formatCode>General</c:formatCode>
                <c:ptCount val="9"/>
                <c:pt idx="0">
                  <c:v>288</c:v>
                </c:pt>
                <c:pt idx="1">
                  <c:v>301</c:v>
                </c:pt>
                <c:pt idx="2">
                  <c:v>203</c:v>
                </c:pt>
                <c:pt idx="3">
                  <c:v>218</c:v>
                </c:pt>
                <c:pt idx="4">
                  <c:v>165</c:v>
                </c:pt>
                <c:pt idx="5">
                  <c:v>178</c:v>
                </c:pt>
                <c:pt idx="6">
                  <c:v>104</c:v>
                </c:pt>
                <c:pt idx="7">
                  <c:v>99</c:v>
                </c:pt>
                <c:pt idx="8">
                  <c:v>112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'Job 3'!$G$4:$G$12</c15:f>
                <c15:dlblRangeCache>
                  <c:ptCount val="9"/>
                  <c:pt idx="0">
                    <c:v>17%</c:v>
                  </c:pt>
                  <c:pt idx="1">
                    <c:v>18%</c:v>
                  </c:pt>
                  <c:pt idx="2">
                    <c:v>12%</c:v>
                  </c:pt>
                  <c:pt idx="3">
                    <c:v>13%</c:v>
                  </c:pt>
                  <c:pt idx="4">
                    <c:v>10%</c:v>
                  </c:pt>
                  <c:pt idx="5">
                    <c:v>11%</c:v>
                  </c:pt>
                  <c:pt idx="6">
                    <c:v>6%</c:v>
                  </c:pt>
                  <c:pt idx="7">
                    <c:v>6%</c:v>
                  </c:pt>
                  <c:pt idx="8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815-4906-91AD-EAF19821A65B}"/>
            </c:ext>
          </c:extLst>
        </c:ser>
        <c:ser>
          <c:idx val="3"/>
          <c:order val="3"/>
          <c:tx>
            <c:strRef>
              <c:f>'Job 3'!$H$3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815-4906-91AD-EAF19821A6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7815-4906-91AD-EAF19821A6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815-4906-91AD-EAF19821A6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7815-4906-91AD-EAF19821A65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815-4906-91AD-EAF19821A6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7815-4906-91AD-EAF19821A65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815-4906-91AD-EAF19821A65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56DD8DC7-63A4-4BC3-8ACE-4527F92E7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815-4906-91AD-EAF19821A65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9F9BC52-9575-47DA-9EE5-B78A6C986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815-4906-91AD-EAF19821A65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865A4AF-DCDD-42A8-AC48-39BBF5D0F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815-4906-91AD-EAF19821A65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BBA49D8A-E5AD-409A-8742-11BF53457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815-4906-91AD-EAF19821A65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4A2E7E3-BEF6-4EA1-A12E-4FBBFC5D7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815-4906-91AD-EAF19821A65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97A14AEB-5ECC-4E1F-A5BD-D0C7BBFFC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815-4906-91AD-EAF19821A65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8B7CD79D-F7EC-45F7-8446-FB47F2700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815-4906-91AD-EAF19821A65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9BA692B-A5C2-49B1-92CB-2D60A534C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815-4906-91AD-EAF19821A65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550EA5F-43A5-4D3D-8825-9DEA1F89D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815-4906-91AD-EAF19821A6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DataLabelsRange val="1"/>
                <c15:showLeaderLines val="0"/>
              </c:ext>
            </c:extLst>
          </c:dLbls>
          <c:cat>
            <c:strRef>
              <c:f>'Job 3'!$A$4:$A$12</c:f>
              <c:strCache>
                <c:ptCount val="9"/>
                <c:pt idx="0">
                  <c:v>San Antonio</c:v>
                </c:pt>
                <c:pt idx="1">
                  <c:v>San Francisco</c:v>
                </c:pt>
                <c:pt idx="2">
                  <c:v>Charlotte</c:v>
                </c:pt>
                <c:pt idx="3">
                  <c:v>Provo</c:v>
                </c:pt>
                <c:pt idx="4">
                  <c:v>Toledo</c:v>
                </c:pt>
                <c:pt idx="5">
                  <c:v>Boston</c:v>
                </c:pt>
                <c:pt idx="6">
                  <c:v>Toronto</c:v>
                </c:pt>
                <c:pt idx="7">
                  <c:v>Boise</c:v>
                </c:pt>
                <c:pt idx="8">
                  <c:v>Minneapolis</c:v>
                </c:pt>
              </c:strCache>
            </c:strRef>
          </c:cat>
          <c:val>
            <c:numRef>
              <c:f>'Job 3'!$H$4:$H$12</c:f>
              <c:numCache>
                <c:formatCode>General</c:formatCode>
                <c:ptCount val="9"/>
                <c:pt idx="0">
                  <c:v>203</c:v>
                </c:pt>
                <c:pt idx="1">
                  <c:v>188</c:v>
                </c:pt>
                <c:pt idx="2">
                  <c:v>197</c:v>
                </c:pt>
                <c:pt idx="3">
                  <c:v>178</c:v>
                </c:pt>
                <c:pt idx="4">
                  <c:v>102</c:v>
                </c:pt>
                <c:pt idx="5">
                  <c:v>151</c:v>
                </c:pt>
                <c:pt idx="6">
                  <c:v>88</c:v>
                </c:pt>
                <c:pt idx="7">
                  <c:v>133</c:v>
                </c:pt>
                <c:pt idx="8">
                  <c:v>133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'Job 3'!$I$4:$I$12</c15:f>
                <c15:dlblRangeCache>
                  <c:ptCount val="9"/>
                  <c:pt idx="0">
                    <c:v>15%</c:v>
                  </c:pt>
                  <c:pt idx="1">
                    <c:v>14%</c:v>
                  </c:pt>
                  <c:pt idx="2">
                    <c:v>14%</c:v>
                  </c:pt>
                  <c:pt idx="3">
                    <c:v>13%</c:v>
                  </c:pt>
                  <c:pt idx="4">
                    <c:v>7%</c:v>
                  </c:pt>
                  <c:pt idx="5">
                    <c:v>11%</c:v>
                  </c:pt>
                  <c:pt idx="6">
                    <c:v>6%</c:v>
                  </c:pt>
                  <c:pt idx="7">
                    <c:v>10%</c:v>
                  </c:pt>
                  <c:pt idx="8">
                    <c:v>10%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815-4906-91AD-EAF19821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981792"/>
        <c:axId val="1808983040"/>
      </c:barChart>
      <c:catAx>
        <c:axId val="18089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83040"/>
        <c:crosses val="autoZero"/>
        <c:auto val="1"/>
        <c:lblAlgn val="ctr"/>
        <c:lblOffset val="100"/>
        <c:noMultiLvlLbl val="0"/>
      </c:catAx>
      <c:valAx>
        <c:axId val="1808983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898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236" cy="62802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0.72914</cdr:x>
      <cdr:y>0.165</cdr:y>
    </cdr:from>
    <cdr:to>
      <cdr:x>0.91657</cdr:x>
      <cdr:y>0.26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11621" y="1036236"/>
          <a:ext cx="1622390" cy="596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Use File from Orignial Author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zoomScaleNormal="100" workbookViewId="0">
      <selection activeCell="E18" sqref="E18"/>
    </sheetView>
  </sheetViews>
  <sheetFormatPr defaultRowHeight="12.75" x14ac:dyDescent="0.2"/>
  <cols>
    <col min="1" max="1" width="18.28515625" style="1" customWidth="1"/>
    <col min="2" max="2" width="9.140625" style="1"/>
    <col min="3" max="3" width="10.85546875" style="1" bestFit="1" customWidth="1"/>
    <col min="4" max="4" width="9.140625" style="1"/>
    <col min="5" max="5" width="11.85546875" style="1" bestFit="1" customWidth="1"/>
    <col min="6" max="10" width="9.140625" style="1"/>
    <col min="11" max="11" width="11" style="1" bestFit="1" customWidth="1"/>
    <col min="12" max="12" width="9.140625" style="1"/>
    <col min="13" max="13" width="19.7109375" style="1" bestFit="1" customWidth="1"/>
    <col min="14" max="16384" width="9.140625" style="1"/>
  </cols>
  <sheetData>
    <row r="1" spans="1:14" x14ac:dyDescent="0.2">
      <c r="A1" s="1" t="s">
        <v>26</v>
      </c>
      <c r="M1" s="1" t="s">
        <v>1</v>
      </c>
      <c r="N1" s="1">
        <v>4277</v>
      </c>
    </row>
    <row r="2" spans="1:14" x14ac:dyDescent="0.2">
      <c r="A2" s="1" t="s">
        <v>0</v>
      </c>
    </row>
    <row r="3" spans="1:14" x14ac:dyDescent="0.2">
      <c r="B3" s="1" t="s">
        <v>4</v>
      </c>
      <c r="C3" s="1" t="s">
        <v>22</v>
      </c>
      <c r="D3" s="1" t="s">
        <v>5</v>
      </c>
      <c r="E3" s="1" t="s">
        <v>23</v>
      </c>
      <c r="F3" s="1" t="s">
        <v>6</v>
      </c>
      <c r="G3" s="1" t="s">
        <v>24</v>
      </c>
      <c r="H3" s="1" t="s">
        <v>7</v>
      </c>
      <c r="I3" s="1" t="s">
        <v>25</v>
      </c>
      <c r="J3" s="1" t="s">
        <v>8</v>
      </c>
      <c r="K3" s="1" t="s">
        <v>18</v>
      </c>
      <c r="M3" s="1" t="s">
        <v>2</v>
      </c>
      <c r="N3" s="1">
        <f>J13</f>
        <v>5384</v>
      </c>
    </row>
    <row r="4" spans="1:14" x14ac:dyDescent="0.2">
      <c r="A4" s="1" t="s">
        <v>9</v>
      </c>
      <c r="B4" s="1">
        <v>122</v>
      </c>
      <c r="C4" s="1">
        <f>B4/$B$13</f>
        <v>0.10990990990990991</v>
      </c>
      <c r="D4" s="1">
        <v>101</v>
      </c>
      <c r="E4" s="1">
        <f>D4/$D$13</f>
        <v>8.191403081914031E-2</v>
      </c>
      <c r="F4" s="1">
        <v>218</v>
      </c>
      <c r="G4" s="1">
        <f>F4/$F$13</f>
        <v>0.13069544364508393</v>
      </c>
      <c r="H4" s="1">
        <v>178</v>
      </c>
      <c r="I4" s="1">
        <f>H4/$H$13</f>
        <v>0.12964311726147124</v>
      </c>
      <c r="J4" s="1">
        <f>B4+D4+F4+H4</f>
        <v>619</v>
      </c>
      <c r="K4" s="1">
        <f>J4/$J$13</f>
        <v>0.11497028231797919</v>
      </c>
    </row>
    <row r="5" spans="1:14" x14ac:dyDescent="0.2">
      <c r="A5" s="1" t="s">
        <v>10</v>
      </c>
      <c r="B5" s="1">
        <v>98</v>
      </c>
      <c r="C5" s="1">
        <f t="shared" ref="C5:C12" si="0">B5/$B$13</f>
        <v>8.8288288288288289E-2</v>
      </c>
      <c r="D5" s="1">
        <v>77</v>
      </c>
      <c r="E5" s="1">
        <f t="shared" ref="E5:E12" si="1">D5/$D$13</f>
        <v>6.2449310624493104E-2</v>
      </c>
      <c r="F5" s="1">
        <v>99</v>
      </c>
      <c r="G5" s="1">
        <f t="shared" ref="G5:G12" si="2">F5/$F$13</f>
        <v>5.935251798561151E-2</v>
      </c>
      <c r="H5" s="1">
        <v>133</v>
      </c>
      <c r="I5" s="1">
        <f t="shared" ref="I5:I12" si="3">H5/$H$13</f>
        <v>9.6868171886380194E-2</v>
      </c>
      <c r="J5" s="1">
        <f t="shared" ref="J5:J12" si="4">B5+D5+F5+H5</f>
        <v>407</v>
      </c>
      <c r="K5" s="1">
        <f t="shared" ref="K5:K12" si="5">J5/$J$13</f>
        <v>7.5594353640416043E-2</v>
      </c>
      <c r="M5" s="1" t="s">
        <v>3</v>
      </c>
      <c r="N5" s="1">
        <f>(N3-N1)/N1</f>
        <v>0.25882628010287584</v>
      </c>
    </row>
    <row r="6" spans="1:14" x14ac:dyDescent="0.2">
      <c r="A6" s="1" t="s">
        <v>11</v>
      </c>
      <c r="B6" s="1">
        <v>121</v>
      </c>
      <c r="C6" s="1">
        <f t="shared" si="0"/>
        <v>0.10900900900900901</v>
      </c>
      <c r="D6" s="1">
        <v>155</v>
      </c>
      <c r="E6" s="1">
        <f t="shared" si="1"/>
        <v>0.12570965125709652</v>
      </c>
      <c r="F6" s="1">
        <v>165</v>
      </c>
      <c r="G6" s="1">
        <f t="shared" si="2"/>
        <v>9.8920863309352514E-2</v>
      </c>
      <c r="H6" s="1">
        <v>102</v>
      </c>
      <c r="I6" s="1">
        <f t="shared" si="3"/>
        <v>7.4289876183539688E-2</v>
      </c>
      <c r="J6" s="1">
        <f t="shared" si="4"/>
        <v>543</v>
      </c>
      <c r="K6" s="1">
        <f t="shared" si="5"/>
        <v>0.10085438335809807</v>
      </c>
    </row>
    <row r="7" spans="1:14" x14ac:dyDescent="0.2">
      <c r="A7" s="1" t="s">
        <v>12</v>
      </c>
      <c r="B7" s="1">
        <v>131</v>
      </c>
      <c r="C7" s="1">
        <f t="shared" si="0"/>
        <v>0.11801801801801802</v>
      </c>
      <c r="D7" s="1">
        <v>233</v>
      </c>
      <c r="E7" s="1">
        <f t="shared" si="1"/>
        <v>0.18896999188969993</v>
      </c>
      <c r="F7" s="1">
        <v>301</v>
      </c>
      <c r="G7" s="1">
        <f t="shared" si="2"/>
        <v>0.1804556354916067</v>
      </c>
      <c r="H7" s="1">
        <v>188</v>
      </c>
      <c r="I7" s="1">
        <f t="shared" si="3"/>
        <v>0.13692643845593591</v>
      </c>
      <c r="J7" s="1">
        <f t="shared" si="4"/>
        <v>853</v>
      </c>
      <c r="K7" s="1">
        <f t="shared" si="5"/>
        <v>0.15843239227340267</v>
      </c>
    </row>
    <row r="8" spans="1:14" x14ac:dyDescent="0.2">
      <c r="A8" s="1" t="s">
        <v>13</v>
      </c>
      <c r="B8" s="1">
        <v>181</v>
      </c>
      <c r="C8" s="1">
        <f t="shared" si="0"/>
        <v>0.16306306306306306</v>
      </c>
      <c r="D8" s="1">
        <v>201</v>
      </c>
      <c r="E8" s="1">
        <f t="shared" si="1"/>
        <v>0.16301703163017031</v>
      </c>
      <c r="F8" s="1">
        <v>288</v>
      </c>
      <c r="G8" s="1">
        <f t="shared" si="2"/>
        <v>0.17266187050359713</v>
      </c>
      <c r="H8" s="1">
        <v>203</v>
      </c>
      <c r="I8" s="1">
        <f t="shared" si="3"/>
        <v>0.14785142024763293</v>
      </c>
      <c r="J8" s="1">
        <f t="shared" si="4"/>
        <v>873</v>
      </c>
      <c r="K8" s="1">
        <f t="shared" si="5"/>
        <v>0.16214710252600298</v>
      </c>
    </row>
    <row r="9" spans="1:14" x14ac:dyDescent="0.2">
      <c r="A9" s="1" t="s">
        <v>14</v>
      </c>
      <c r="B9" s="1">
        <v>175</v>
      </c>
      <c r="C9" s="1">
        <f t="shared" si="0"/>
        <v>0.15765765765765766</v>
      </c>
      <c r="D9" s="1">
        <v>122</v>
      </c>
      <c r="E9" s="1">
        <f t="shared" si="1"/>
        <v>9.8945660989456605E-2</v>
      </c>
      <c r="F9" s="1">
        <v>104</v>
      </c>
      <c r="G9" s="1">
        <f t="shared" si="2"/>
        <v>6.235011990407674E-2</v>
      </c>
      <c r="H9" s="1">
        <v>88</v>
      </c>
      <c r="I9" s="1">
        <f t="shared" si="3"/>
        <v>6.4093226511289153E-2</v>
      </c>
      <c r="J9" s="1">
        <f t="shared" si="4"/>
        <v>489</v>
      </c>
      <c r="K9" s="1">
        <f t="shared" si="5"/>
        <v>9.0824665676077262E-2</v>
      </c>
    </row>
    <row r="10" spans="1:14" x14ac:dyDescent="0.2">
      <c r="A10" s="1" t="s">
        <v>15</v>
      </c>
      <c r="B10" s="1">
        <v>68</v>
      </c>
      <c r="C10" s="1">
        <f t="shared" si="0"/>
        <v>6.126126126126126E-2</v>
      </c>
      <c r="D10" s="1">
        <v>62</v>
      </c>
      <c r="E10" s="1">
        <f t="shared" si="1"/>
        <v>5.0283860502838604E-2</v>
      </c>
      <c r="F10" s="1">
        <v>112</v>
      </c>
      <c r="G10" s="1">
        <f t="shared" si="2"/>
        <v>6.7146282973621102E-2</v>
      </c>
      <c r="H10" s="1">
        <v>133</v>
      </c>
      <c r="I10" s="1">
        <f t="shared" si="3"/>
        <v>9.6868171886380194E-2</v>
      </c>
      <c r="J10" s="1">
        <f t="shared" si="4"/>
        <v>375</v>
      </c>
      <c r="K10" s="1">
        <f t="shared" si="5"/>
        <v>6.9650817236255574E-2</v>
      </c>
    </row>
    <row r="11" spans="1:14" x14ac:dyDescent="0.2">
      <c r="A11" s="1" t="s">
        <v>16</v>
      </c>
      <c r="B11" s="1">
        <v>93</v>
      </c>
      <c r="C11" s="1">
        <f t="shared" si="0"/>
        <v>8.3783783783783788E-2</v>
      </c>
      <c r="D11" s="1">
        <v>102</v>
      </c>
      <c r="E11" s="1">
        <f t="shared" si="1"/>
        <v>8.2725060827250604E-2</v>
      </c>
      <c r="F11" s="1">
        <v>178</v>
      </c>
      <c r="G11" s="1">
        <f t="shared" si="2"/>
        <v>0.10671462829736211</v>
      </c>
      <c r="H11" s="1">
        <v>151</v>
      </c>
      <c r="I11" s="1">
        <f t="shared" si="3"/>
        <v>0.1099781500364166</v>
      </c>
      <c r="J11" s="1">
        <f t="shared" si="4"/>
        <v>524</v>
      </c>
      <c r="K11" s="1">
        <f t="shared" si="5"/>
        <v>9.7325408618127787E-2</v>
      </c>
    </row>
    <row r="12" spans="1:14" x14ac:dyDescent="0.2">
      <c r="A12" s="1" t="s">
        <v>17</v>
      </c>
      <c r="B12" s="1">
        <v>121</v>
      </c>
      <c r="C12" s="1">
        <f t="shared" si="0"/>
        <v>0.10900900900900901</v>
      </c>
      <c r="D12" s="1">
        <v>180</v>
      </c>
      <c r="E12" s="1">
        <f t="shared" si="1"/>
        <v>0.145985401459854</v>
      </c>
      <c r="F12" s="1">
        <v>203</v>
      </c>
      <c r="G12" s="1">
        <f t="shared" si="2"/>
        <v>0.12170263788968826</v>
      </c>
      <c r="H12" s="1">
        <v>197</v>
      </c>
      <c r="I12" s="1">
        <f t="shared" si="3"/>
        <v>0.14348142753095411</v>
      </c>
      <c r="J12" s="1">
        <f t="shared" si="4"/>
        <v>701</v>
      </c>
      <c r="K12" s="1">
        <f t="shared" si="5"/>
        <v>0.13020059435364043</v>
      </c>
    </row>
    <row r="13" spans="1:14" x14ac:dyDescent="0.2">
      <c r="A13" s="1" t="s">
        <v>8</v>
      </c>
      <c r="B13" s="1">
        <f>SUM(B4:B12)</f>
        <v>1110</v>
      </c>
      <c r="D13" s="1">
        <f t="shared" ref="D13:J13" si="6">SUM(D4:D12)</f>
        <v>1233</v>
      </c>
      <c r="F13" s="1">
        <f t="shared" si="6"/>
        <v>1668</v>
      </c>
      <c r="H13" s="1">
        <f t="shared" si="6"/>
        <v>1373</v>
      </c>
      <c r="J13" s="1">
        <f t="shared" si="6"/>
        <v>5384</v>
      </c>
    </row>
    <row r="15" spans="1:14" x14ac:dyDescent="0.2">
      <c r="A15" s="1" t="s">
        <v>19</v>
      </c>
      <c r="B15" s="1">
        <f>AVERAGE(B4:B12)</f>
        <v>123.33333333333333</v>
      </c>
      <c r="D15" s="1">
        <f t="shared" ref="D15:H15" si="7">AVERAGE(D4:D12)</f>
        <v>137</v>
      </c>
      <c r="F15" s="1">
        <f t="shared" si="7"/>
        <v>185.33333333333334</v>
      </c>
      <c r="H15" s="1">
        <f t="shared" si="7"/>
        <v>152.55555555555554</v>
      </c>
    </row>
    <row r="16" spans="1:14" x14ac:dyDescent="0.2">
      <c r="A16" s="1" t="s">
        <v>20</v>
      </c>
      <c r="B16" s="1">
        <f>MAX(B4:B12)</f>
        <v>181</v>
      </c>
      <c r="D16" s="1">
        <f t="shared" ref="D16:H16" si="8">MAX(D4:D12)</f>
        <v>233</v>
      </c>
      <c r="F16" s="1">
        <f t="shared" si="8"/>
        <v>301</v>
      </c>
      <c r="H16" s="1">
        <f t="shared" si="8"/>
        <v>203</v>
      </c>
    </row>
    <row r="17" spans="1:8" x14ac:dyDescent="0.2">
      <c r="A17" s="1" t="s">
        <v>21</v>
      </c>
      <c r="B17" s="1">
        <f>MIN(B4:B12)</f>
        <v>68</v>
      </c>
      <c r="D17" s="1">
        <f t="shared" ref="D17:H17" si="9">MIN(D4:D12)</f>
        <v>62</v>
      </c>
      <c r="F17" s="1">
        <f t="shared" si="9"/>
        <v>99</v>
      </c>
      <c r="H17" s="1">
        <f t="shared" si="9"/>
        <v>88</v>
      </c>
    </row>
  </sheetData>
  <printOptions horizontalCentered="1" verticalCentered="1" gridLines="1"/>
  <pageMargins left="0.25" right="0.25" top="0.75" bottom="0.75" header="0.3" footer="0.3"/>
  <pageSetup scale="86" orientation="landscape" r:id="rId1"/>
  <headerFooter>
    <oddFooter>&amp;RMember ID
Print Out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showFormulas="1" zoomScaleNormal="100" workbookViewId="0"/>
  </sheetViews>
  <sheetFormatPr defaultRowHeight="12.75" x14ac:dyDescent="0.2"/>
  <cols>
    <col min="1" max="1" width="22.42578125" style="1" bestFit="1" customWidth="1"/>
    <col min="2" max="2" width="9.85546875" style="1" bestFit="1" customWidth="1"/>
    <col min="3" max="3" width="6.28515625" style="1" bestFit="1" customWidth="1"/>
    <col min="4" max="4" width="10" style="1" bestFit="1" customWidth="1"/>
    <col min="5" max="5" width="6.42578125" style="1" bestFit="1" customWidth="1"/>
    <col min="6" max="6" width="9.85546875" style="1" bestFit="1" customWidth="1"/>
    <col min="7" max="7" width="6.28515625" style="1" bestFit="1" customWidth="1"/>
    <col min="8" max="8" width="10" style="1" bestFit="1" customWidth="1"/>
    <col min="9" max="9" width="6.42578125" style="1" bestFit="1" customWidth="1"/>
    <col min="10" max="10" width="10.28515625" style="1" bestFit="1" customWidth="1"/>
    <col min="11" max="11" width="6" style="1" bestFit="1" customWidth="1"/>
    <col min="12" max="12" width="2.85546875" style="1" customWidth="1"/>
    <col min="13" max="13" width="10" style="1" bestFit="1" customWidth="1"/>
    <col min="14" max="14" width="6.7109375" style="1" bestFit="1" customWidth="1"/>
    <col min="15" max="16384" width="9.140625" style="1"/>
  </cols>
  <sheetData>
    <row r="1" spans="1:14" x14ac:dyDescent="0.2">
      <c r="A1" s="1" t="s">
        <v>26</v>
      </c>
      <c r="M1" s="1" t="s">
        <v>1</v>
      </c>
      <c r="N1" s="1">
        <v>4277</v>
      </c>
    </row>
    <row r="2" spans="1:14" x14ac:dyDescent="0.2">
      <c r="A2" s="1" t="s">
        <v>0</v>
      </c>
    </row>
    <row r="3" spans="1:14" x14ac:dyDescent="0.2">
      <c r="B3" s="1" t="s">
        <v>4</v>
      </c>
      <c r="C3" s="1" t="s">
        <v>22</v>
      </c>
      <c r="D3" s="1" t="s">
        <v>5</v>
      </c>
      <c r="E3" s="1" t="s">
        <v>23</v>
      </c>
      <c r="F3" s="1" t="s">
        <v>6</v>
      </c>
      <c r="G3" s="1" t="s">
        <v>24</v>
      </c>
      <c r="H3" s="1" t="s">
        <v>7</v>
      </c>
      <c r="I3" s="1" t="s">
        <v>25</v>
      </c>
      <c r="J3" s="1" t="s">
        <v>8</v>
      </c>
      <c r="K3" s="1" t="s">
        <v>18</v>
      </c>
      <c r="M3" s="1" t="s">
        <v>2</v>
      </c>
      <c r="N3" s="1">
        <f>J13</f>
        <v>5384</v>
      </c>
    </row>
    <row r="4" spans="1:14" x14ac:dyDescent="0.2">
      <c r="A4" s="1" t="s">
        <v>9</v>
      </c>
      <c r="B4" s="1">
        <v>122</v>
      </c>
      <c r="C4" s="1">
        <f>B4/$B$13</f>
        <v>0.10990990990990991</v>
      </c>
      <c r="D4" s="1">
        <v>101</v>
      </c>
      <c r="E4" s="1">
        <f>D4/$D$13</f>
        <v>8.191403081914031E-2</v>
      </c>
      <c r="F4" s="1">
        <v>218</v>
      </c>
      <c r="G4" s="1">
        <f>F4/$F$13</f>
        <v>0.13069544364508393</v>
      </c>
      <c r="H4" s="1">
        <v>178</v>
      </c>
      <c r="I4" s="1">
        <f>H4/$H$13</f>
        <v>0.12964311726147124</v>
      </c>
      <c r="J4" s="1">
        <f>B4+D4+F4+H4</f>
        <v>619</v>
      </c>
      <c r="K4" s="1">
        <f>J4/$J$13</f>
        <v>0.11497028231797919</v>
      </c>
    </row>
    <row r="5" spans="1:14" x14ac:dyDescent="0.2">
      <c r="A5" s="1" t="s">
        <v>10</v>
      </c>
      <c r="B5" s="1">
        <v>98</v>
      </c>
      <c r="C5" s="1">
        <f t="shared" ref="C5:C12" si="0">B5/$B$13</f>
        <v>8.8288288288288289E-2</v>
      </c>
      <c r="D5" s="1">
        <v>77</v>
      </c>
      <c r="E5" s="1">
        <f t="shared" ref="E5:E12" si="1">D5/$D$13</f>
        <v>6.2449310624493104E-2</v>
      </c>
      <c r="F5" s="1">
        <v>99</v>
      </c>
      <c r="G5" s="1">
        <f t="shared" ref="G5:G12" si="2">F5/$F$13</f>
        <v>5.935251798561151E-2</v>
      </c>
      <c r="H5" s="1">
        <v>133</v>
      </c>
      <c r="I5" s="1">
        <f t="shared" ref="I5:I12" si="3">H5/$H$13</f>
        <v>9.6868171886380194E-2</v>
      </c>
      <c r="J5" s="1">
        <f t="shared" ref="J5:J12" si="4">B5+D5+F5+H5</f>
        <v>407</v>
      </c>
      <c r="K5" s="1">
        <f t="shared" ref="K5:K12" si="5">J5/$J$13</f>
        <v>7.5594353640416043E-2</v>
      </c>
      <c r="M5" s="1" t="s">
        <v>3</v>
      </c>
      <c r="N5" s="1">
        <f>(N3-N1)/N1</f>
        <v>0.25882628010287584</v>
      </c>
    </row>
    <row r="6" spans="1:14" x14ac:dyDescent="0.2">
      <c r="A6" s="1" t="s">
        <v>11</v>
      </c>
      <c r="B6" s="1">
        <v>121</v>
      </c>
      <c r="C6" s="1">
        <f t="shared" si="0"/>
        <v>0.10900900900900901</v>
      </c>
      <c r="D6" s="1">
        <v>155</v>
      </c>
      <c r="E6" s="1">
        <f t="shared" si="1"/>
        <v>0.12570965125709652</v>
      </c>
      <c r="F6" s="1">
        <v>165</v>
      </c>
      <c r="G6" s="1">
        <f t="shared" si="2"/>
        <v>9.8920863309352514E-2</v>
      </c>
      <c r="H6" s="1">
        <v>102</v>
      </c>
      <c r="I6" s="1">
        <f t="shared" si="3"/>
        <v>7.4289876183539688E-2</v>
      </c>
      <c r="J6" s="1">
        <f t="shared" si="4"/>
        <v>543</v>
      </c>
      <c r="K6" s="1">
        <f t="shared" si="5"/>
        <v>0.10085438335809807</v>
      </c>
    </row>
    <row r="7" spans="1:14" x14ac:dyDescent="0.2">
      <c r="A7" s="1" t="s">
        <v>12</v>
      </c>
      <c r="B7" s="1">
        <v>131</v>
      </c>
      <c r="C7" s="1">
        <f t="shared" si="0"/>
        <v>0.11801801801801802</v>
      </c>
      <c r="D7" s="1">
        <v>233</v>
      </c>
      <c r="E7" s="1">
        <f t="shared" si="1"/>
        <v>0.18896999188969993</v>
      </c>
      <c r="F7" s="1">
        <v>301</v>
      </c>
      <c r="G7" s="1">
        <f t="shared" si="2"/>
        <v>0.1804556354916067</v>
      </c>
      <c r="H7" s="1">
        <v>188</v>
      </c>
      <c r="I7" s="1">
        <f t="shared" si="3"/>
        <v>0.13692643845593591</v>
      </c>
      <c r="J7" s="1">
        <f t="shared" si="4"/>
        <v>853</v>
      </c>
      <c r="K7" s="1">
        <f t="shared" si="5"/>
        <v>0.15843239227340267</v>
      </c>
    </row>
    <row r="8" spans="1:14" x14ac:dyDescent="0.2">
      <c r="A8" s="1" t="s">
        <v>13</v>
      </c>
      <c r="B8" s="1">
        <v>181</v>
      </c>
      <c r="C8" s="1">
        <f t="shared" si="0"/>
        <v>0.16306306306306306</v>
      </c>
      <c r="D8" s="1">
        <v>201</v>
      </c>
      <c r="E8" s="1">
        <f t="shared" si="1"/>
        <v>0.16301703163017031</v>
      </c>
      <c r="F8" s="1">
        <v>288</v>
      </c>
      <c r="G8" s="1">
        <f t="shared" si="2"/>
        <v>0.17266187050359713</v>
      </c>
      <c r="H8" s="1">
        <v>203</v>
      </c>
      <c r="I8" s="1">
        <f t="shared" si="3"/>
        <v>0.14785142024763293</v>
      </c>
      <c r="J8" s="1">
        <f t="shared" si="4"/>
        <v>873</v>
      </c>
      <c r="K8" s="1">
        <f t="shared" si="5"/>
        <v>0.16214710252600298</v>
      </c>
    </row>
    <row r="9" spans="1:14" x14ac:dyDescent="0.2">
      <c r="A9" s="1" t="s">
        <v>14</v>
      </c>
      <c r="B9" s="1">
        <v>175</v>
      </c>
      <c r="C9" s="1">
        <f t="shared" si="0"/>
        <v>0.15765765765765766</v>
      </c>
      <c r="D9" s="1">
        <v>122</v>
      </c>
      <c r="E9" s="1">
        <f t="shared" si="1"/>
        <v>9.8945660989456605E-2</v>
      </c>
      <c r="F9" s="1">
        <v>104</v>
      </c>
      <c r="G9" s="1">
        <f t="shared" si="2"/>
        <v>6.235011990407674E-2</v>
      </c>
      <c r="H9" s="1">
        <v>88</v>
      </c>
      <c r="I9" s="1">
        <f t="shared" si="3"/>
        <v>6.4093226511289153E-2</v>
      </c>
      <c r="J9" s="1">
        <f t="shared" si="4"/>
        <v>489</v>
      </c>
      <c r="K9" s="1">
        <f t="shared" si="5"/>
        <v>9.0824665676077262E-2</v>
      </c>
    </row>
    <row r="10" spans="1:14" x14ac:dyDescent="0.2">
      <c r="A10" s="1" t="s">
        <v>15</v>
      </c>
      <c r="B10" s="1">
        <v>68</v>
      </c>
      <c r="C10" s="1">
        <f t="shared" si="0"/>
        <v>6.126126126126126E-2</v>
      </c>
      <c r="D10" s="1">
        <v>62</v>
      </c>
      <c r="E10" s="1">
        <f t="shared" si="1"/>
        <v>5.0283860502838604E-2</v>
      </c>
      <c r="F10" s="1">
        <v>112</v>
      </c>
      <c r="G10" s="1">
        <f t="shared" si="2"/>
        <v>6.7146282973621102E-2</v>
      </c>
      <c r="H10" s="1">
        <v>133</v>
      </c>
      <c r="I10" s="1">
        <f t="shared" si="3"/>
        <v>9.6868171886380194E-2</v>
      </c>
      <c r="J10" s="1">
        <f t="shared" si="4"/>
        <v>375</v>
      </c>
      <c r="K10" s="1">
        <f t="shared" si="5"/>
        <v>6.9650817236255574E-2</v>
      </c>
    </row>
    <row r="11" spans="1:14" x14ac:dyDescent="0.2">
      <c r="A11" s="1" t="s">
        <v>16</v>
      </c>
      <c r="B11" s="1">
        <v>93</v>
      </c>
      <c r="C11" s="1">
        <f t="shared" si="0"/>
        <v>8.3783783783783788E-2</v>
      </c>
      <c r="D11" s="1">
        <v>102</v>
      </c>
      <c r="E11" s="1">
        <f t="shared" si="1"/>
        <v>8.2725060827250604E-2</v>
      </c>
      <c r="F11" s="1">
        <v>178</v>
      </c>
      <c r="G11" s="1">
        <f t="shared" si="2"/>
        <v>0.10671462829736211</v>
      </c>
      <c r="H11" s="1">
        <v>151</v>
      </c>
      <c r="I11" s="1">
        <f t="shared" si="3"/>
        <v>0.1099781500364166</v>
      </c>
      <c r="J11" s="1">
        <f t="shared" si="4"/>
        <v>524</v>
      </c>
      <c r="K11" s="1">
        <f t="shared" si="5"/>
        <v>9.7325408618127787E-2</v>
      </c>
    </row>
    <row r="12" spans="1:14" x14ac:dyDescent="0.2">
      <c r="A12" s="1" t="s">
        <v>17</v>
      </c>
      <c r="B12" s="1">
        <v>121</v>
      </c>
      <c r="C12" s="1">
        <f t="shared" si="0"/>
        <v>0.10900900900900901</v>
      </c>
      <c r="D12" s="1">
        <v>180</v>
      </c>
      <c r="E12" s="1">
        <f t="shared" si="1"/>
        <v>0.145985401459854</v>
      </c>
      <c r="F12" s="1">
        <v>203</v>
      </c>
      <c r="G12" s="1">
        <f t="shared" si="2"/>
        <v>0.12170263788968826</v>
      </c>
      <c r="H12" s="1">
        <v>197</v>
      </c>
      <c r="I12" s="1">
        <f t="shared" si="3"/>
        <v>0.14348142753095411</v>
      </c>
      <c r="J12" s="1">
        <f t="shared" si="4"/>
        <v>701</v>
      </c>
      <c r="K12" s="1">
        <f t="shared" si="5"/>
        <v>0.13020059435364043</v>
      </c>
    </row>
    <row r="13" spans="1:14" x14ac:dyDescent="0.2">
      <c r="A13" s="1" t="s">
        <v>8</v>
      </c>
      <c r="B13" s="1">
        <f>SUM(B4:B12)</f>
        <v>1110</v>
      </c>
      <c r="D13" s="1">
        <f t="shared" ref="D13:J13" si="6">SUM(D4:D12)</f>
        <v>1233</v>
      </c>
      <c r="F13" s="1">
        <f t="shared" si="6"/>
        <v>1668</v>
      </c>
      <c r="H13" s="1">
        <f t="shared" si="6"/>
        <v>1373</v>
      </c>
      <c r="J13" s="1">
        <f t="shared" si="6"/>
        <v>5384</v>
      </c>
    </row>
    <row r="15" spans="1:14" x14ac:dyDescent="0.2">
      <c r="A15" s="1" t="s">
        <v>19</v>
      </c>
      <c r="B15" s="1">
        <f>AVERAGE(B4:B12)</f>
        <v>123.33333333333333</v>
      </c>
      <c r="D15" s="1">
        <f t="shared" ref="D15:H15" si="7">AVERAGE(D4:D12)</f>
        <v>137</v>
      </c>
      <c r="F15" s="1">
        <f t="shared" si="7"/>
        <v>185.33333333333334</v>
      </c>
      <c r="H15" s="1">
        <f t="shared" si="7"/>
        <v>152.55555555555554</v>
      </c>
    </row>
    <row r="16" spans="1:14" x14ac:dyDescent="0.2">
      <c r="A16" s="1" t="s">
        <v>20</v>
      </c>
      <c r="B16" s="1">
        <f>MAX(B4:B12)</f>
        <v>181</v>
      </c>
      <c r="D16" s="1">
        <f t="shared" ref="D16:H16" si="8">MAX(D4:D12)</f>
        <v>233</v>
      </c>
      <c r="F16" s="1">
        <f t="shared" si="8"/>
        <v>301</v>
      </c>
      <c r="H16" s="1">
        <f t="shared" si="8"/>
        <v>203</v>
      </c>
    </row>
    <row r="17" spans="1:8" x14ac:dyDescent="0.2">
      <c r="A17" s="1" t="s">
        <v>21</v>
      </c>
      <c r="B17" s="1">
        <f>MIN(B4:B12)</f>
        <v>68</v>
      </c>
      <c r="D17" s="1">
        <f t="shared" ref="D17:H17" si="9">MIN(D4:D12)</f>
        <v>62</v>
      </c>
      <c r="F17" s="1">
        <f t="shared" si="9"/>
        <v>99</v>
      </c>
      <c r="H17" s="1">
        <f t="shared" si="9"/>
        <v>88</v>
      </c>
    </row>
  </sheetData>
  <printOptions horizontalCentered="1" verticalCentered="1" gridLines="1"/>
  <pageMargins left="0.25" right="0.25" top="0.75" bottom="0.75" header="0.3" footer="0.3"/>
  <pageSetup scale="54" orientation="landscape" r:id="rId1"/>
  <headerFooter>
    <oddFooter>&amp;RMember ID
Print Out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zoomScaleNormal="100" workbookViewId="0">
      <selection sqref="A1:K1"/>
    </sheetView>
  </sheetViews>
  <sheetFormatPr defaultRowHeight="12.75" x14ac:dyDescent="0.2"/>
  <cols>
    <col min="1" max="1" width="18.28515625" style="1" customWidth="1"/>
    <col min="2" max="2" width="9.140625" style="1"/>
    <col min="3" max="3" width="10.85546875" style="1" hidden="1" customWidth="1"/>
    <col min="4" max="4" width="9.140625" style="1"/>
    <col min="5" max="5" width="11.85546875" style="1" hidden="1" customWidth="1"/>
    <col min="6" max="6" width="9.140625" style="1"/>
    <col min="7" max="7" width="0" style="1" hidden="1" customWidth="1"/>
    <col min="8" max="8" width="9.140625" style="1"/>
    <col min="9" max="9" width="0" style="1" hidden="1" customWidth="1"/>
    <col min="10" max="10" width="9.140625" style="1"/>
    <col min="11" max="11" width="11" style="1" bestFit="1" customWidth="1"/>
    <col min="12" max="12" width="9.140625" style="1"/>
    <col min="13" max="13" width="19.7109375" style="1" bestFit="1" customWidth="1"/>
    <col min="14" max="16384" width="9.140625" style="1"/>
  </cols>
  <sheetData>
    <row r="1" spans="1:14" ht="20.25" thickBot="1" x14ac:dyDescent="0.35">
      <c r="A1" s="17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 t="s">
        <v>1</v>
      </c>
      <c r="M1" s="19"/>
      <c r="N1" s="1">
        <v>4277</v>
      </c>
    </row>
    <row r="2" spans="1:14" ht="15.75" thickTop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4" ht="15" customHeight="1" thickBot="1" x14ac:dyDescent="0.25">
      <c r="A3" s="7"/>
      <c r="B3" s="8" t="s">
        <v>4</v>
      </c>
      <c r="C3" s="9" t="s">
        <v>22</v>
      </c>
      <c r="D3" s="8" t="s">
        <v>5</v>
      </c>
      <c r="E3" s="9" t="s">
        <v>23</v>
      </c>
      <c r="F3" s="8" t="s">
        <v>6</v>
      </c>
      <c r="G3" s="9" t="s">
        <v>24</v>
      </c>
      <c r="H3" s="8" t="s">
        <v>7</v>
      </c>
      <c r="I3" s="9" t="s">
        <v>25</v>
      </c>
      <c r="J3" s="12" t="s">
        <v>8</v>
      </c>
      <c r="K3" s="12" t="s">
        <v>18</v>
      </c>
      <c r="L3" s="19" t="s">
        <v>2</v>
      </c>
      <c r="M3" s="19"/>
      <c r="N3" s="1">
        <f>J13</f>
        <v>5384</v>
      </c>
    </row>
    <row r="4" spans="1:14" x14ac:dyDescent="0.2">
      <c r="A4" s="1" t="s">
        <v>13</v>
      </c>
      <c r="B4" s="4">
        <v>181</v>
      </c>
      <c r="C4" s="5">
        <f t="shared" ref="C4:C12" si="0">B4/$B$13</f>
        <v>0.16306306306306306</v>
      </c>
      <c r="D4" s="4">
        <v>201</v>
      </c>
      <c r="E4" s="5">
        <f t="shared" ref="E4:E12" si="1">D4/$D$13</f>
        <v>0.16301703163017031</v>
      </c>
      <c r="F4" s="4">
        <v>288</v>
      </c>
      <c r="G4" s="5">
        <f t="shared" ref="G4:G12" si="2">F4/$F$13</f>
        <v>0.17266187050359713</v>
      </c>
      <c r="H4" s="4">
        <v>203</v>
      </c>
      <c r="I4" s="5">
        <f t="shared" ref="I4:I12" si="3">H4/$H$13</f>
        <v>0.14785142024763293</v>
      </c>
      <c r="J4" s="13">
        <f t="shared" ref="J4:J12" si="4">B4+D4+F4+H4</f>
        <v>873</v>
      </c>
      <c r="K4" s="14">
        <f t="shared" ref="K4:K12" si="5">J4/$J$13</f>
        <v>0.16214710252600298</v>
      </c>
    </row>
    <row r="5" spans="1:14" ht="15" customHeight="1" x14ac:dyDescent="0.2">
      <c r="A5" s="1" t="s">
        <v>12</v>
      </c>
      <c r="B5" s="4">
        <v>131</v>
      </c>
      <c r="C5" s="5">
        <f t="shared" si="0"/>
        <v>0.11801801801801802</v>
      </c>
      <c r="D5" s="4">
        <v>233</v>
      </c>
      <c r="E5" s="5">
        <f t="shared" si="1"/>
        <v>0.18896999188969993</v>
      </c>
      <c r="F5" s="4">
        <v>301</v>
      </c>
      <c r="G5" s="5">
        <f t="shared" si="2"/>
        <v>0.1804556354916067</v>
      </c>
      <c r="H5" s="4">
        <v>188</v>
      </c>
      <c r="I5" s="5">
        <f t="shared" si="3"/>
        <v>0.13692643845593591</v>
      </c>
      <c r="J5" s="13">
        <f t="shared" si="4"/>
        <v>853</v>
      </c>
      <c r="K5" s="14">
        <f t="shared" si="5"/>
        <v>0.15843239227340267</v>
      </c>
      <c r="L5" s="19" t="s">
        <v>3</v>
      </c>
      <c r="M5" s="19"/>
      <c r="N5" s="2">
        <f>(N3-N1)/N1</f>
        <v>0.25882628010287584</v>
      </c>
    </row>
    <row r="6" spans="1:14" x14ac:dyDescent="0.2">
      <c r="A6" s="1" t="s">
        <v>17</v>
      </c>
      <c r="B6" s="4">
        <v>121</v>
      </c>
      <c r="C6" s="5">
        <f t="shared" si="0"/>
        <v>0.10900900900900901</v>
      </c>
      <c r="D6" s="4">
        <v>180</v>
      </c>
      <c r="E6" s="5">
        <f t="shared" si="1"/>
        <v>0.145985401459854</v>
      </c>
      <c r="F6" s="4">
        <v>203</v>
      </c>
      <c r="G6" s="5">
        <f t="shared" si="2"/>
        <v>0.12170263788968826</v>
      </c>
      <c r="H6" s="4">
        <v>197</v>
      </c>
      <c r="I6" s="5">
        <f t="shared" si="3"/>
        <v>0.14348142753095411</v>
      </c>
      <c r="J6" s="13">
        <f t="shared" si="4"/>
        <v>701</v>
      </c>
      <c r="K6" s="14">
        <f t="shared" si="5"/>
        <v>0.13020059435364043</v>
      </c>
    </row>
    <row r="7" spans="1:14" x14ac:dyDescent="0.2">
      <c r="A7" s="1" t="s">
        <v>9</v>
      </c>
      <c r="B7" s="4">
        <v>122</v>
      </c>
      <c r="C7" s="5">
        <f t="shared" si="0"/>
        <v>0.10990990990990991</v>
      </c>
      <c r="D7" s="4">
        <v>101</v>
      </c>
      <c r="E7" s="5">
        <f t="shared" si="1"/>
        <v>8.191403081914031E-2</v>
      </c>
      <c r="F7" s="4">
        <v>218</v>
      </c>
      <c r="G7" s="5">
        <f t="shared" si="2"/>
        <v>0.13069544364508393</v>
      </c>
      <c r="H7" s="4">
        <v>178</v>
      </c>
      <c r="I7" s="5">
        <f t="shared" si="3"/>
        <v>0.12964311726147124</v>
      </c>
      <c r="J7" s="13">
        <f t="shared" si="4"/>
        <v>619</v>
      </c>
      <c r="K7" s="14">
        <f t="shared" si="5"/>
        <v>0.11497028231797919</v>
      </c>
    </row>
    <row r="8" spans="1:14" x14ac:dyDescent="0.2">
      <c r="A8" s="1" t="s">
        <v>11</v>
      </c>
      <c r="B8" s="4">
        <v>121</v>
      </c>
      <c r="C8" s="5">
        <f t="shared" si="0"/>
        <v>0.10900900900900901</v>
      </c>
      <c r="D8" s="4">
        <v>155</v>
      </c>
      <c r="E8" s="5">
        <f t="shared" si="1"/>
        <v>0.12570965125709652</v>
      </c>
      <c r="F8" s="4">
        <v>165</v>
      </c>
      <c r="G8" s="5">
        <f t="shared" si="2"/>
        <v>9.8920863309352514E-2</v>
      </c>
      <c r="H8" s="4">
        <v>102</v>
      </c>
      <c r="I8" s="5">
        <f t="shared" si="3"/>
        <v>7.4289876183539688E-2</v>
      </c>
      <c r="J8" s="13">
        <f t="shared" si="4"/>
        <v>543</v>
      </c>
      <c r="K8" s="14">
        <f t="shared" si="5"/>
        <v>0.10085438335809807</v>
      </c>
    </row>
    <row r="9" spans="1:14" x14ac:dyDescent="0.2">
      <c r="A9" s="1" t="s">
        <v>16</v>
      </c>
      <c r="B9" s="4">
        <v>93</v>
      </c>
      <c r="C9" s="5">
        <f t="shared" si="0"/>
        <v>8.3783783783783788E-2</v>
      </c>
      <c r="D9" s="4">
        <v>102</v>
      </c>
      <c r="E9" s="5">
        <f t="shared" si="1"/>
        <v>8.2725060827250604E-2</v>
      </c>
      <c r="F9" s="4">
        <v>178</v>
      </c>
      <c r="G9" s="5">
        <f t="shared" si="2"/>
        <v>0.10671462829736211</v>
      </c>
      <c r="H9" s="4">
        <v>151</v>
      </c>
      <c r="I9" s="5">
        <f t="shared" si="3"/>
        <v>0.1099781500364166</v>
      </c>
      <c r="J9" s="13">
        <f t="shared" si="4"/>
        <v>524</v>
      </c>
      <c r="K9" s="14">
        <f t="shared" si="5"/>
        <v>9.7325408618127787E-2</v>
      </c>
    </row>
    <row r="10" spans="1:14" x14ac:dyDescent="0.2">
      <c r="A10" s="1" t="s">
        <v>14</v>
      </c>
      <c r="B10" s="4">
        <v>175</v>
      </c>
      <c r="C10" s="5">
        <f t="shared" si="0"/>
        <v>0.15765765765765766</v>
      </c>
      <c r="D10" s="4">
        <v>122</v>
      </c>
      <c r="E10" s="5">
        <f t="shared" si="1"/>
        <v>9.8945660989456605E-2</v>
      </c>
      <c r="F10" s="4">
        <v>104</v>
      </c>
      <c r="G10" s="5">
        <f t="shared" si="2"/>
        <v>6.235011990407674E-2</v>
      </c>
      <c r="H10" s="4">
        <v>88</v>
      </c>
      <c r="I10" s="5">
        <f t="shared" si="3"/>
        <v>6.4093226511289153E-2</v>
      </c>
      <c r="J10" s="13">
        <f t="shared" si="4"/>
        <v>489</v>
      </c>
      <c r="K10" s="14">
        <f t="shared" si="5"/>
        <v>9.0824665676077262E-2</v>
      </c>
    </row>
    <row r="11" spans="1:14" x14ac:dyDescent="0.2">
      <c r="A11" s="1" t="s">
        <v>10</v>
      </c>
      <c r="B11" s="4">
        <v>98</v>
      </c>
      <c r="C11" s="5">
        <f t="shared" si="0"/>
        <v>8.8288288288288289E-2</v>
      </c>
      <c r="D11" s="4">
        <v>77</v>
      </c>
      <c r="E11" s="5">
        <f t="shared" si="1"/>
        <v>6.2449310624493104E-2</v>
      </c>
      <c r="F11" s="4">
        <v>99</v>
      </c>
      <c r="G11" s="5">
        <f t="shared" si="2"/>
        <v>5.935251798561151E-2</v>
      </c>
      <c r="H11" s="4">
        <v>133</v>
      </c>
      <c r="I11" s="5">
        <f t="shared" si="3"/>
        <v>9.6868171886380194E-2</v>
      </c>
      <c r="J11" s="13">
        <f t="shared" si="4"/>
        <v>407</v>
      </c>
      <c r="K11" s="14">
        <f t="shared" si="5"/>
        <v>7.5594353640416043E-2</v>
      </c>
    </row>
    <row r="12" spans="1:14" ht="13.5" thickBot="1" x14ac:dyDescent="0.25">
      <c r="A12" s="7" t="s">
        <v>15</v>
      </c>
      <c r="B12" s="10">
        <v>68</v>
      </c>
      <c r="C12" s="11">
        <f t="shared" si="0"/>
        <v>6.126126126126126E-2</v>
      </c>
      <c r="D12" s="10">
        <v>62</v>
      </c>
      <c r="E12" s="11">
        <f t="shared" si="1"/>
        <v>5.0283860502838604E-2</v>
      </c>
      <c r="F12" s="10">
        <v>112</v>
      </c>
      <c r="G12" s="11">
        <f t="shared" si="2"/>
        <v>6.7146282973621102E-2</v>
      </c>
      <c r="H12" s="10">
        <v>133</v>
      </c>
      <c r="I12" s="11">
        <f t="shared" si="3"/>
        <v>9.6868171886380194E-2</v>
      </c>
      <c r="J12" s="15">
        <f t="shared" si="4"/>
        <v>375</v>
      </c>
      <c r="K12" s="16">
        <f t="shared" si="5"/>
        <v>6.9650817236255574E-2</v>
      </c>
    </row>
    <row r="13" spans="1:14" x14ac:dyDescent="0.2">
      <c r="A13" s="1" t="s">
        <v>8</v>
      </c>
      <c r="B13" s="4">
        <f>SUM(B4:B12)</f>
        <v>1110</v>
      </c>
      <c r="C13" s="6"/>
      <c r="D13" s="4">
        <f t="shared" ref="D13:J13" si="6">SUM(D4:D12)</f>
        <v>1233</v>
      </c>
      <c r="E13" s="6"/>
      <c r="F13" s="4">
        <f t="shared" si="6"/>
        <v>1668</v>
      </c>
      <c r="G13" s="6"/>
      <c r="H13" s="4">
        <f t="shared" si="6"/>
        <v>1373</v>
      </c>
      <c r="I13" s="6"/>
      <c r="J13" s="1">
        <f t="shared" si="6"/>
        <v>5384</v>
      </c>
    </row>
    <row r="15" spans="1:14" x14ac:dyDescent="0.2">
      <c r="A15" s="1" t="s">
        <v>19</v>
      </c>
      <c r="B15" s="3">
        <f>AVERAGE(B4:B12)</f>
        <v>123.33333333333333</v>
      </c>
      <c r="D15" s="3">
        <f t="shared" ref="D15:H15" si="7">AVERAGE(D4:D12)</f>
        <v>137</v>
      </c>
      <c r="F15" s="3">
        <f t="shared" si="7"/>
        <v>185.33333333333334</v>
      </c>
      <c r="H15" s="3">
        <f t="shared" si="7"/>
        <v>152.55555555555554</v>
      </c>
    </row>
    <row r="16" spans="1:14" x14ac:dyDescent="0.2">
      <c r="A16" s="1" t="s">
        <v>20</v>
      </c>
      <c r="B16" s="1">
        <f>MAX(B4:B12)</f>
        <v>181</v>
      </c>
      <c r="D16" s="1">
        <f t="shared" ref="D16:H16" si="8">MAX(D4:D12)</f>
        <v>233</v>
      </c>
      <c r="F16" s="1">
        <f t="shared" si="8"/>
        <v>301</v>
      </c>
      <c r="H16" s="1">
        <f t="shared" si="8"/>
        <v>203</v>
      </c>
    </row>
    <row r="17" spans="1:8" x14ac:dyDescent="0.2">
      <c r="A17" s="1" t="s">
        <v>21</v>
      </c>
      <c r="B17" s="1">
        <f>MIN(B4:B12)</f>
        <v>68</v>
      </c>
      <c r="D17" s="1">
        <f t="shared" ref="D17:H17" si="9">MIN(D4:D12)</f>
        <v>62</v>
      </c>
      <c r="F17" s="1">
        <f t="shared" si="9"/>
        <v>99</v>
      </c>
      <c r="H17" s="1">
        <f t="shared" si="9"/>
        <v>88</v>
      </c>
    </row>
  </sheetData>
  <sortState ref="A4:K12">
    <sortCondition descending="1" ref="K4:K12"/>
  </sortState>
  <mergeCells count="5">
    <mergeCell ref="A1:K1"/>
    <mergeCell ref="A2:K2"/>
    <mergeCell ref="L1:M1"/>
    <mergeCell ref="L3:M3"/>
    <mergeCell ref="L5:M5"/>
  </mergeCells>
  <printOptions horizontalCentered="1" verticalCentered="1" gridLines="1"/>
  <pageMargins left="0.25" right="0.25" top="0.75" bottom="0.75" header="0.3" footer="0.3"/>
  <pageSetup orientation="landscape" r:id="rId1"/>
  <headerFooter>
    <oddFooter>&amp;RMember ID
Print Out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workbookViewId="0">
      <selection activeCell="A2" sqref="A2:K2"/>
    </sheetView>
  </sheetViews>
  <sheetFormatPr defaultRowHeight="12.75" x14ac:dyDescent="0.2"/>
  <cols>
    <col min="1" max="1" width="18.28515625" style="1" customWidth="1"/>
    <col min="2" max="2" width="9.140625" style="1"/>
    <col min="3" max="3" width="10.85546875" style="1" customWidth="1"/>
    <col min="4" max="4" width="9.140625" style="1"/>
    <col min="5" max="5" width="11.85546875" style="1" customWidth="1"/>
    <col min="6" max="6" width="9.140625" style="1"/>
    <col min="7" max="7" width="9.140625" style="1" customWidth="1"/>
    <col min="8" max="8" width="9.140625" style="1"/>
    <col min="9" max="9" width="9.140625" style="1" customWidth="1"/>
    <col min="10" max="10" width="9.140625" style="1"/>
    <col min="11" max="11" width="11" style="1" bestFit="1" customWidth="1"/>
    <col min="12" max="12" width="9.140625" style="1"/>
    <col min="13" max="13" width="19.7109375" style="1" bestFit="1" customWidth="1"/>
    <col min="14" max="16384" width="9.140625" style="1"/>
  </cols>
  <sheetData>
    <row r="1" spans="1:14" ht="20.25" thickBot="1" x14ac:dyDescent="0.35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 t="s">
        <v>1</v>
      </c>
      <c r="M1" s="19"/>
      <c r="N1" s="1">
        <v>4277</v>
      </c>
    </row>
    <row r="2" spans="1:14" ht="15.75" thickTop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4" ht="15" customHeight="1" thickBot="1" x14ac:dyDescent="0.25">
      <c r="A3" s="7"/>
      <c r="B3" s="8" t="s">
        <v>4</v>
      </c>
      <c r="C3" s="9" t="s">
        <v>22</v>
      </c>
      <c r="D3" s="8" t="s">
        <v>5</v>
      </c>
      <c r="E3" s="9" t="s">
        <v>23</v>
      </c>
      <c r="F3" s="8" t="s">
        <v>6</v>
      </c>
      <c r="G3" s="9" t="s">
        <v>24</v>
      </c>
      <c r="H3" s="8" t="s">
        <v>7</v>
      </c>
      <c r="I3" s="9" t="s">
        <v>25</v>
      </c>
      <c r="J3" s="12" t="s">
        <v>8</v>
      </c>
      <c r="K3" s="12" t="s">
        <v>18</v>
      </c>
      <c r="L3" s="19" t="s">
        <v>2</v>
      </c>
      <c r="M3" s="19"/>
      <c r="N3" s="1">
        <f>J13</f>
        <v>5384</v>
      </c>
    </row>
    <row r="4" spans="1:14" x14ac:dyDescent="0.2">
      <c r="A4" s="1" t="s">
        <v>13</v>
      </c>
      <c r="B4" s="4">
        <v>181</v>
      </c>
      <c r="C4" s="5">
        <f t="shared" ref="C4:C12" si="0">B4/$B$13</f>
        <v>0.16306306306306306</v>
      </c>
      <c r="D4" s="4">
        <v>201</v>
      </c>
      <c r="E4" s="5">
        <f t="shared" ref="E4:E12" si="1">D4/$D$13</f>
        <v>0.16301703163017031</v>
      </c>
      <c r="F4" s="4">
        <v>288</v>
      </c>
      <c r="G4" s="5">
        <f t="shared" ref="G4:G12" si="2">F4/$F$13</f>
        <v>0.17266187050359713</v>
      </c>
      <c r="H4" s="4">
        <v>203</v>
      </c>
      <c r="I4" s="5">
        <f t="shared" ref="I4:I12" si="3">H4/$H$13</f>
        <v>0.14785142024763293</v>
      </c>
      <c r="J4" s="13">
        <f t="shared" ref="J4:J12" si="4">B4+D4+F4+H4</f>
        <v>873</v>
      </c>
      <c r="K4" s="14">
        <f t="shared" ref="K4:K12" si="5">J4/$J$13</f>
        <v>0.16214710252600298</v>
      </c>
    </row>
    <row r="5" spans="1:14" ht="15" customHeight="1" x14ac:dyDescent="0.2">
      <c r="A5" s="1" t="s">
        <v>12</v>
      </c>
      <c r="B5" s="4">
        <v>131</v>
      </c>
      <c r="C5" s="5">
        <f t="shared" si="0"/>
        <v>0.11801801801801802</v>
      </c>
      <c r="D5" s="4">
        <v>233</v>
      </c>
      <c r="E5" s="5">
        <f t="shared" si="1"/>
        <v>0.18896999188969993</v>
      </c>
      <c r="F5" s="4">
        <v>301</v>
      </c>
      <c r="G5" s="5">
        <f t="shared" si="2"/>
        <v>0.1804556354916067</v>
      </c>
      <c r="H5" s="4">
        <v>188</v>
      </c>
      <c r="I5" s="5">
        <f t="shared" si="3"/>
        <v>0.13692643845593591</v>
      </c>
      <c r="J5" s="13">
        <f t="shared" si="4"/>
        <v>853</v>
      </c>
      <c r="K5" s="14">
        <f t="shared" si="5"/>
        <v>0.15843239227340267</v>
      </c>
      <c r="L5" s="19" t="s">
        <v>3</v>
      </c>
      <c r="M5" s="19"/>
      <c r="N5" s="2">
        <f>(N3-N1)/N1</f>
        <v>0.25882628010287584</v>
      </c>
    </row>
    <row r="6" spans="1:14" x14ac:dyDescent="0.2">
      <c r="A6" s="1" t="s">
        <v>17</v>
      </c>
      <c r="B6" s="4">
        <v>121</v>
      </c>
      <c r="C6" s="5">
        <f t="shared" si="0"/>
        <v>0.10900900900900901</v>
      </c>
      <c r="D6" s="4">
        <v>180</v>
      </c>
      <c r="E6" s="5">
        <f t="shared" si="1"/>
        <v>0.145985401459854</v>
      </c>
      <c r="F6" s="4">
        <v>203</v>
      </c>
      <c r="G6" s="5">
        <f t="shared" si="2"/>
        <v>0.12170263788968826</v>
      </c>
      <c r="H6" s="4">
        <v>197</v>
      </c>
      <c r="I6" s="5">
        <f t="shared" si="3"/>
        <v>0.14348142753095411</v>
      </c>
      <c r="J6" s="13">
        <f t="shared" si="4"/>
        <v>701</v>
      </c>
      <c r="K6" s="14">
        <f t="shared" si="5"/>
        <v>0.13020059435364043</v>
      </c>
    </row>
    <row r="7" spans="1:14" x14ac:dyDescent="0.2">
      <c r="A7" s="1" t="s">
        <v>9</v>
      </c>
      <c r="B7" s="4">
        <v>122</v>
      </c>
      <c r="C7" s="5">
        <f t="shared" si="0"/>
        <v>0.10990990990990991</v>
      </c>
      <c r="D7" s="4">
        <v>101</v>
      </c>
      <c r="E7" s="5">
        <f t="shared" si="1"/>
        <v>8.191403081914031E-2</v>
      </c>
      <c r="F7" s="4">
        <v>218</v>
      </c>
      <c r="G7" s="5">
        <f t="shared" si="2"/>
        <v>0.13069544364508393</v>
      </c>
      <c r="H7" s="4">
        <v>178</v>
      </c>
      <c r="I7" s="5">
        <f t="shared" si="3"/>
        <v>0.12964311726147124</v>
      </c>
      <c r="J7" s="13">
        <f t="shared" si="4"/>
        <v>619</v>
      </c>
      <c r="K7" s="14">
        <f t="shared" si="5"/>
        <v>0.11497028231797919</v>
      </c>
    </row>
    <row r="8" spans="1:14" x14ac:dyDescent="0.2">
      <c r="A8" s="1" t="s">
        <v>11</v>
      </c>
      <c r="B8" s="4">
        <v>121</v>
      </c>
      <c r="C8" s="5">
        <f t="shared" si="0"/>
        <v>0.10900900900900901</v>
      </c>
      <c r="D8" s="4">
        <v>155</v>
      </c>
      <c r="E8" s="5">
        <f t="shared" si="1"/>
        <v>0.12570965125709652</v>
      </c>
      <c r="F8" s="4">
        <v>165</v>
      </c>
      <c r="G8" s="5">
        <f t="shared" si="2"/>
        <v>9.8920863309352514E-2</v>
      </c>
      <c r="H8" s="4">
        <v>102</v>
      </c>
      <c r="I8" s="5">
        <f t="shared" si="3"/>
        <v>7.4289876183539688E-2</v>
      </c>
      <c r="J8" s="13">
        <f t="shared" si="4"/>
        <v>543</v>
      </c>
      <c r="K8" s="14">
        <f t="shared" si="5"/>
        <v>0.10085438335809807</v>
      </c>
    </row>
    <row r="9" spans="1:14" x14ac:dyDescent="0.2">
      <c r="A9" s="1" t="s">
        <v>16</v>
      </c>
      <c r="B9" s="4">
        <v>93</v>
      </c>
      <c r="C9" s="5">
        <f t="shared" si="0"/>
        <v>8.3783783783783788E-2</v>
      </c>
      <c r="D9" s="4">
        <v>102</v>
      </c>
      <c r="E9" s="5">
        <f t="shared" si="1"/>
        <v>8.2725060827250604E-2</v>
      </c>
      <c r="F9" s="4">
        <v>178</v>
      </c>
      <c r="G9" s="5">
        <f t="shared" si="2"/>
        <v>0.10671462829736211</v>
      </c>
      <c r="H9" s="4">
        <v>151</v>
      </c>
      <c r="I9" s="5">
        <f t="shared" si="3"/>
        <v>0.1099781500364166</v>
      </c>
      <c r="J9" s="13">
        <f t="shared" si="4"/>
        <v>524</v>
      </c>
      <c r="K9" s="14">
        <f t="shared" si="5"/>
        <v>9.7325408618127787E-2</v>
      </c>
    </row>
    <row r="10" spans="1:14" x14ac:dyDescent="0.2">
      <c r="A10" s="1" t="s">
        <v>14</v>
      </c>
      <c r="B10" s="4">
        <v>175</v>
      </c>
      <c r="C10" s="5">
        <f t="shared" si="0"/>
        <v>0.15765765765765766</v>
      </c>
      <c r="D10" s="4">
        <v>122</v>
      </c>
      <c r="E10" s="5">
        <f t="shared" si="1"/>
        <v>9.8945660989456605E-2</v>
      </c>
      <c r="F10" s="4">
        <v>104</v>
      </c>
      <c r="G10" s="5">
        <f t="shared" si="2"/>
        <v>6.235011990407674E-2</v>
      </c>
      <c r="H10" s="4">
        <v>88</v>
      </c>
      <c r="I10" s="5">
        <f t="shared" si="3"/>
        <v>6.4093226511289153E-2</v>
      </c>
      <c r="J10" s="13">
        <f t="shared" si="4"/>
        <v>489</v>
      </c>
      <c r="K10" s="14">
        <f t="shared" si="5"/>
        <v>9.0824665676077262E-2</v>
      </c>
    </row>
    <row r="11" spans="1:14" x14ac:dyDescent="0.2">
      <c r="A11" s="1" t="s">
        <v>10</v>
      </c>
      <c r="B11" s="4">
        <v>98</v>
      </c>
      <c r="C11" s="5">
        <f t="shared" si="0"/>
        <v>8.8288288288288289E-2</v>
      </c>
      <c r="D11" s="4">
        <v>77</v>
      </c>
      <c r="E11" s="5">
        <f t="shared" si="1"/>
        <v>6.2449310624493104E-2</v>
      </c>
      <c r="F11" s="4">
        <v>99</v>
      </c>
      <c r="G11" s="5">
        <f t="shared" si="2"/>
        <v>5.935251798561151E-2</v>
      </c>
      <c r="H11" s="4">
        <v>133</v>
      </c>
      <c r="I11" s="5">
        <f t="shared" si="3"/>
        <v>9.6868171886380194E-2</v>
      </c>
      <c r="J11" s="13">
        <f t="shared" si="4"/>
        <v>407</v>
      </c>
      <c r="K11" s="14">
        <f t="shared" si="5"/>
        <v>7.5594353640416043E-2</v>
      </c>
    </row>
    <row r="12" spans="1:14" ht="13.5" thickBot="1" x14ac:dyDescent="0.25">
      <c r="A12" s="7" t="s">
        <v>15</v>
      </c>
      <c r="B12" s="10">
        <v>68</v>
      </c>
      <c r="C12" s="11">
        <f t="shared" si="0"/>
        <v>6.126126126126126E-2</v>
      </c>
      <c r="D12" s="10">
        <v>62</v>
      </c>
      <c r="E12" s="11">
        <f t="shared" si="1"/>
        <v>5.0283860502838604E-2</v>
      </c>
      <c r="F12" s="10">
        <v>112</v>
      </c>
      <c r="G12" s="11">
        <f t="shared" si="2"/>
        <v>6.7146282973621102E-2</v>
      </c>
      <c r="H12" s="10">
        <v>133</v>
      </c>
      <c r="I12" s="11">
        <f t="shared" si="3"/>
        <v>9.6868171886380194E-2</v>
      </c>
      <c r="J12" s="15">
        <f t="shared" si="4"/>
        <v>375</v>
      </c>
      <c r="K12" s="16">
        <f t="shared" si="5"/>
        <v>6.9650817236255574E-2</v>
      </c>
    </row>
    <row r="13" spans="1:14" x14ac:dyDescent="0.2">
      <c r="A13" s="1" t="s">
        <v>8</v>
      </c>
      <c r="B13" s="4">
        <f>SUM(B4:B12)</f>
        <v>1110</v>
      </c>
      <c r="C13" s="6"/>
      <c r="D13" s="4">
        <f t="shared" ref="D13:J13" si="6">SUM(D4:D12)</f>
        <v>1233</v>
      </c>
      <c r="E13" s="6"/>
      <c r="F13" s="4">
        <f t="shared" si="6"/>
        <v>1668</v>
      </c>
      <c r="G13" s="6"/>
      <c r="H13" s="4">
        <f t="shared" si="6"/>
        <v>1373</v>
      </c>
      <c r="I13" s="6"/>
      <c r="J13" s="1">
        <f t="shared" si="6"/>
        <v>5384</v>
      </c>
    </row>
    <row r="15" spans="1:14" x14ac:dyDescent="0.2">
      <c r="A15" s="1" t="s">
        <v>19</v>
      </c>
      <c r="B15" s="3">
        <f>AVERAGE(B4:B12)</f>
        <v>123.33333333333333</v>
      </c>
      <c r="D15" s="3">
        <f t="shared" ref="D15:H15" si="7">AVERAGE(D4:D12)</f>
        <v>137</v>
      </c>
      <c r="F15" s="3">
        <f t="shared" si="7"/>
        <v>185.33333333333334</v>
      </c>
      <c r="H15" s="3">
        <f t="shared" si="7"/>
        <v>152.55555555555554</v>
      </c>
    </row>
    <row r="16" spans="1:14" x14ac:dyDescent="0.2">
      <c r="A16" s="1" t="s">
        <v>20</v>
      </c>
      <c r="B16" s="1">
        <f>MAX(B4:B12)</f>
        <v>181</v>
      </c>
      <c r="D16" s="1">
        <f t="shared" ref="D16:H16" si="8">MAX(D4:D12)</f>
        <v>233</v>
      </c>
      <c r="F16" s="1">
        <f t="shared" si="8"/>
        <v>301</v>
      </c>
      <c r="H16" s="1">
        <f t="shared" si="8"/>
        <v>203</v>
      </c>
    </row>
    <row r="17" spans="1:8" x14ac:dyDescent="0.2">
      <c r="A17" s="1" t="s">
        <v>21</v>
      </c>
      <c r="B17" s="1">
        <f>MIN(B4:B12)</f>
        <v>68</v>
      </c>
      <c r="D17" s="1">
        <f t="shared" ref="D17:H17" si="9">MIN(D4:D12)</f>
        <v>62</v>
      </c>
      <c r="F17" s="1">
        <f t="shared" si="9"/>
        <v>99</v>
      </c>
      <c r="H17" s="1">
        <f t="shared" si="9"/>
        <v>88</v>
      </c>
    </row>
  </sheetData>
  <mergeCells count="5">
    <mergeCell ref="A1:K1"/>
    <mergeCell ref="L1:M1"/>
    <mergeCell ref="A2:K2"/>
    <mergeCell ref="L3:M3"/>
    <mergeCell ref="L5:M5"/>
  </mergeCells>
  <printOptions horizontalCentered="1" verticalCentered="1"/>
  <pageMargins left="0.25" right="0.25" top="0.75" bottom="0.75" header="0.3" footer="0.3"/>
  <pageSetup scale="8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Job 1-Unformatted</vt:lpstr>
      <vt:lpstr>Job 1-Formulas</vt:lpstr>
      <vt:lpstr>Job 2-Formatted</vt:lpstr>
      <vt:lpstr>Job 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John</dc:creator>
  <cp:lastModifiedBy>Dawson, John</cp:lastModifiedBy>
  <cp:lastPrinted>2021-07-14T15:01:11Z</cp:lastPrinted>
  <dcterms:created xsi:type="dcterms:W3CDTF">2021-07-13T18:11:03Z</dcterms:created>
  <dcterms:modified xsi:type="dcterms:W3CDTF">2021-07-14T15:30:15Z</dcterms:modified>
</cp:coreProperties>
</file>