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patrickschultz/Library/Group Containers/UBF8T346G9.OneDriveStandaloneSuite/OneDrive - Business Professionals of America.noindex/OneDrive - Business Professionals of America/SAAC SHARE/STATE 2022/Complete Package/Word/235_Adv_Spread_Apps_S/Grader File/"/>
    </mc:Choice>
  </mc:AlternateContent>
  <xr:revisionPtr revIDLastSave="0" documentId="13_ncr:1_{8EEF6F8F-ED08-5A41-9F4A-FB5520B00AA4}" xr6:coauthVersionLast="47" xr6:coauthVersionMax="47" xr10:uidLastSave="{00000000-0000-0000-0000-000000000000}"/>
  <bookViews>
    <workbookView xWindow="0" yWindow="500" windowWidth="24340" windowHeight="16380" activeTab="3" xr2:uid="{00000000-000D-0000-FFFF-FFFF00000000}"/>
  </bookViews>
  <sheets>
    <sheet name="Job 1" sheetId="1" r:id="rId1"/>
    <sheet name="Job 1 (Formulas)" sheetId="4" r:id="rId2"/>
    <sheet name="Job 2 Formatted" sheetId="3" r:id="rId3"/>
    <sheet name="Monetary Breakdown Chart" sheetId="5" r:id="rId4"/>
  </sheets>
  <definedNames>
    <definedName name="_xlchart.v1.0" hidden="1">'Job 2 Formatted'!$A$39:$A$41</definedName>
    <definedName name="_xlchart.v1.1" hidden="1">'Job 2 Formatted'!$B$39:$B$41</definedName>
    <definedName name="_xlchart.v1.2" hidden="1">'Job 2 Formatted'!$A$39:$A$41</definedName>
    <definedName name="_xlchart.v1.3" hidden="1">'Job 2 Formatted'!$B$39:$B$41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6" i="3" l="1"/>
  <c r="C35" i="3"/>
  <c r="C33" i="1"/>
  <c r="C32" i="1"/>
  <c r="C33" i="4"/>
  <c r="C32" i="4"/>
  <c r="B41" i="3"/>
  <c r="B40" i="3"/>
  <c r="B39" i="3"/>
  <c r="B38" i="4"/>
  <c r="B37" i="4"/>
  <c r="B36" i="4"/>
  <c r="B31" i="4"/>
  <c r="B38" i="1"/>
  <c r="B37" i="1"/>
  <c r="B36" i="1"/>
  <c r="F31" i="3"/>
  <c r="F16" i="3"/>
  <c r="B34" i="3"/>
  <c r="B31" i="1"/>
  <c r="F32" i="3" l="1"/>
</calcChain>
</file>

<file path=xl/sharedStrings.xml><?xml version="1.0" encoding="utf-8"?>
<sst xmlns="http://schemas.openxmlformats.org/spreadsheetml/2006/main" count="356" uniqueCount="51">
  <si>
    <t>Scholarship Report</t>
  </si>
  <si>
    <t>Scholarship</t>
  </si>
  <si>
    <t>Award Amount</t>
  </si>
  <si>
    <t>Gender</t>
  </si>
  <si>
    <t>Grade Level</t>
  </si>
  <si>
    <t>Full/Part</t>
  </si>
  <si>
    <t xml:space="preserve">AAF Tenth District </t>
  </si>
  <si>
    <t>F</t>
  </si>
  <si>
    <t>Full</t>
  </si>
  <si>
    <t>School/Recipient</t>
  </si>
  <si>
    <t>School</t>
  </si>
  <si>
    <t>Action Behavior Center ABA Therepy</t>
  </si>
  <si>
    <t>M</t>
  </si>
  <si>
    <t>Recipient</t>
  </si>
  <si>
    <t>Against the Grain Artistic</t>
  </si>
  <si>
    <t>Andy and Julie Plata Honorary</t>
  </si>
  <si>
    <t>Asure Software Scholarship Program</t>
  </si>
  <si>
    <t>Part</t>
  </si>
  <si>
    <t xml:space="preserve">Avanti Senior Living's Inspirational </t>
  </si>
  <si>
    <t>BAFTX Graduate Award</t>
  </si>
  <si>
    <t>Grad</t>
  </si>
  <si>
    <t>BHW Scholarship</t>
  </si>
  <si>
    <t>Chef Curtis Duffy Scholarhip Competition</t>
  </si>
  <si>
    <t>Dan Klepper Memorial Scholarship</t>
  </si>
  <si>
    <t>Dolores Zohrab Liebmann Fund</t>
  </si>
  <si>
    <t>ExxonMobil Bernard Harris Math and Science</t>
  </si>
  <si>
    <t>IFMA Foundation Scholarship Program</t>
  </si>
  <si>
    <t>Lily Pabilona Emerging Entrepreneur</t>
  </si>
  <si>
    <t xml:space="preserve">MBKSA Education Partnership </t>
  </si>
  <si>
    <t>Nelson Cabinetry Scholarship</t>
  </si>
  <si>
    <t>Ruby's Rainbow</t>
  </si>
  <si>
    <t>Sandy Schenker Capell</t>
  </si>
  <si>
    <t>Sheryl A. Horak Law Enforcement Explorer Memorial</t>
  </si>
  <si>
    <t>The Craig &amp; Galen Brown Foundation</t>
  </si>
  <si>
    <t>The Robert Noyce</t>
  </si>
  <si>
    <t>The Terry Foundation</t>
  </si>
  <si>
    <t>The Whirlwind Steel Student</t>
  </si>
  <si>
    <t>TVMA Scholarship</t>
  </si>
  <si>
    <t>Total Monies Collected</t>
  </si>
  <si>
    <t>Male Scholarships</t>
  </si>
  <si>
    <t>Female Scholarships</t>
  </si>
  <si>
    <t>Awards Breakdown</t>
  </si>
  <si>
    <t>Recipient Count</t>
  </si>
  <si>
    <t>School Count</t>
  </si>
  <si>
    <t>Grand Count</t>
  </si>
  <si>
    <t>Grove University</t>
  </si>
  <si>
    <t>Scholarships less than $5,000</t>
  </si>
  <si>
    <t>Scholarships $5,000 to $10,000</t>
  </si>
  <si>
    <t>Scholarships over $10,000</t>
  </si>
  <si>
    <t xml:space="preserve"> </t>
  </si>
  <si>
    <t>TSGC Columbia Crew Memorial Undergraduate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</si>
</sst>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2" xfId="0" applyNumberFormat="1" applyBorder="1"/>
    <xf numFmtId="0" fontId="3" fillId="0" borderId="2" xfId="0" applyFont="1" applyBorder="1"/>
    <xf numFmtId="0" fontId="2" fillId="0" borderId="2" xfId="1" applyBorder="1" applyAlignment="1">
      <alignment horizontal="center"/>
    </xf>
    <xf numFmtId="0" fontId="1" fillId="2" borderId="2" xfId="2" applyBorder="1" applyAlignment="1">
      <alignment horizontal="center"/>
    </xf>
  </cellXfs>
  <cellStyles count="3">
    <cellStyle name="20% - Accent5" xfId="2" builtinId="46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Cooper Black" panose="0208090404030B020404" pitchFamily="18" charset="77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  <a:latin typeface="Cooper Black" panose="0208090404030B020404" pitchFamily="18" charset="77"/>
              </a:rPr>
              <a:t>Scholarship Breakdown Based on Monetary Amounts </a:t>
            </a:r>
            <a:endParaRPr lang="en-US" b="0" baseline="0">
              <a:latin typeface="Cooper Black" panose="0208090404030B020404" pitchFamily="18" charset="7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Cooper Black" panose="0208090404030B020404" pitchFamily="18" charset="77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DDE-C749-AE17-E7C4D47A1D0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DDE-C749-AE17-E7C4D47A1D06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DDE-C749-AE17-E7C4D47A1D06}"/>
              </c:ext>
            </c:extLst>
          </c:dPt>
          <c:dLbls>
            <c:dLbl>
              <c:idx val="0"/>
              <c:layout>
                <c:manualLayout>
                  <c:x val="-0.15272245871780921"/>
                  <c:y val="0.142173828480026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E-C749-AE17-E7C4D47A1D06}"/>
                </c:ext>
              </c:extLst>
            </c:dLbl>
            <c:dLbl>
              <c:idx val="1"/>
              <c:layout>
                <c:manualLayout>
                  <c:x val="-0.17196593956235856"/>
                  <c:y val="1.6330502513577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DE-C749-AE17-E7C4D47A1D0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'Job 2 Formatted'!$A$39:$A$41</c:f>
              <c:strCache>
                <c:ptCount val="3"/>
                <c:pt idx="0">
                  <c:v>Scholarships less than $5,000</c:v>
                </c:pt>
                <c:pt idx="1">
                  <c:v>Scholarships $5,000 to $10,000</c:v>
                </c:pt>
                <c:pt idx="2">
                  <c:v>Scholarships over $10,000</c:v>
                </c:pt>
              </c:strCache>
            </c:strRef>
          </c:cat>
          <c:val>
            <c:numRef>
              <c:f>'Job 2 Formatted'!$B$39:$B$41</c:f>
              <c:numCache>
                <c:formatCode>"$"#,##0</c:formatCode>
                <c:ptCount val="3"/>
                <c:pt idx="0">
                  <c:v>32000</c:v>
                </c:pt>
                <c:pt idx="1">
                  <c:v>25000</c:v>
                </c:pt>
                <c:pt idx="2">
                  <c:v>133000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E-C749-AE17-E7C4D47A1D06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4538B8-695E-3D4D-A964-533ACF50E2A1}">
  <sheetPr/>
  <sheetViews>
    <sheetView tabSelected="1" zoomScale="12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80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5B738-95F8-764E-B52D-56D7792D57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zoomScale="91" workbookViewId="0">
      <selection activeCell="J33" sqref="J33"/>
    </sheetView>
  </sheetViews>
  <sheetFormatPr baseColWidth="10" defaultColWidth="20.83203125" defaultRowHeight="15" x14ac:dyDescent="0.2"/>
  <cols>
    <col min="1" max="1" width="41" bestFit="1" customWidth="1"/>
    <col min="2" max="2" width="12.5" bestFit="1" customWidth="1"/>
    <col min="3" max="3" width="6.6640625" bestFit="1" customWidth="1"/>
    <col min="4" max="4" width="9.83203125" bestFit="1" customWidth="1"/>
    <col min="5" max="5" width="7.83203125" bestFit="1" customWidth="1"/>
    <col min="6" max="6" width="14.1640625" bestFit="1" customWidth="1"/>
    <col min="8" max="8" width="1.6640625" bestFit="1" customWidth="1"/>
  </cols>
  <sheetData>
    <row r="1" spans="1:6" x14ac:dyDescent="0.2">
      <c r="A1" s="1" t="s">
        <v>45</v>
      </c>
      <c r="B1" s="1"/>
      <c r="C1" s="1"/>
      <c r="D1" s="1"/>
      <c r="E1" s="1"/>
      <c r="F1" s="1"/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9</v>
      </c>
    </row>
    <row r="5" spans="1:6" x14ac:dyDescent="0.2">
      <c r="A5" s="1" t="s">
        <v>6</v>
      </c>
      <c r="B5" s="4">
        <v>2500</v>
      </c>
      <c r="C5" s="1" t="s">
        <v>7</v>
      </c>
      <c r="D5" s="1">
        <v>10</v>
      </c>
      <c r="E5" s="1" t="s">
        <v>8</v>
      </c>
      <c r="F5" s="1" t="s">
        <v>10</v>
      </c>
    </row>
    <row r="6" spans="1:6" x14ac:dyDescent="0.2">
      <c r="A6" s="1" t="s">
        <v>11</v>
      </c>
      <c r="B6" s="4">
        <v>1000</v>
      </c>
      <c r="C6" s="1" t="s">
        <v>12</v>
      </c>
      <c r="D6" s="1">
        <v>9</v>
      </c>
      <c r="E6" s="1" t="s">
        <v>8</v>
      </c>
      <c r="F6" s="1" t="s">
        <v>13</v>
      </c>
    </row>
    <row r="7" spans="1:6" x14ac:dyDescent="0.2">
      <c r="A7" s="1" t="s">
        <v>14</v>
      </c>
      <c r="B7" s="4">
        <v>1000</v>
      </c>
      <c r="C7" s="1" t="s">
        <v>7</v>
      </c>
      <c r="D7" s="1">
        <v>10</v>
      </c>
      <c r="E7" s="1" t="s">
        <v>8</v>
      </c>
      <c r="F7" s="1" t="s">
        <v>10</v>
      </c>
    </row>
    <row r="8" spans="1:6" x14ac:dyDescent="0.2">
      <c r="A8" s="1" t="s">
        <v>15</v>
      </c>
      <c r="B8" s="4">
        <v>2000</v>
      </c>
      <c r="C8" s="1" t="s">
        <v>7</v>
      </c>
      <c r="D8" s="1">
        <v>11</v>
      </c>
      <c r="E8" s="1" t="s">
        <v>8</v>
      </c>
      <c r="F8" s="1" t="s">
        <v>10</v>
      </c>
    </row>
    <row r="9" spans="1:6" x14ac:dyDescent="0.2">
      <c r="A9" s="1" t="s">
        <v>16</v>
      </c>
      <c r="B9" s="4">
        <v>2500</v>
      </c>
      <c r="C9" s="1" t="s">
        <v>12</v>
      </c>
      <c r="D9" s="1">
        <v>9</v>
      </c>
      <c r="E9" s="1" t="s">
        <v>17</v>
      </c>
      <c r="F9" s="1" t="s">
        <v>10</v>
      </c>
    </row>
    <row r="10" spans="1:6" x14ac:dyDescent="0.2">
      <c r="A10" s="1" t="s">
        <v>18</v>
      </c>
      <c r="B10" s="4">
        <v>1000</v>
      </c>
      <c r="C10" s="1" t="s">
        <v>7</v>
      </c>
      <c r="D10" s="1">
        <v>9</v>
      </c>
      <c r="E10" s="1" t="s">
        <v>8</v>
      </c>
      <c r="F10" s="1" t="s">
        <v>10</v>
      </c>
    </row>
    <row r="11" spans="1:6" x14ac:dyDescent="0.2">
      <c r="A11" s="1" t="s">
        <v>19</v>
      </c>
      <c r="B11" s="4">
        <v>4500</v>
      </c>
      <c r="C11" s="1" t="s">
        <v>7</v>
      </c>
      <c r="D11" s="1" t="s">
        <v>20</v>
      </c>
      <c r="E11" s="1" t="s">
        <v>8</v>
      </c>
      <c r="F11" s="1" t="s">
        <v>10</v>
      </c>
    </row>
    <row r="12" spans="1:6" x14ac:dyDescent="0.2">
      <c r="A12" s="1" t="s">
        <v>21</v>
      </c>
      <c r="B12" s="4">
        <v>3000</v>
      </c>
      <c r="C12" s="1" t="s">
        <v>7</v>
      </c>
      <c r="D12" s="1">
        <v>10</v>
      </c>
      <c r="E12" s="1" t="s">
        <v>17</v>
      </c>
      <c r="F12" s="1" t="s">
        <v>13</v>
      </c>
    </row>
    <row r="13" spans="1:6" x14ac:dyDescent="0.2">
      <c r="A13" s="1" t="s">
        <v>22</v>
      </c>
      <c r="B13" s="4">
        <v>2500</v>
      </c>
      <c r="C13" s="1" t="s">
        <v>12</v>
      </c>
      <c r="D13" s="1">
        <v>9</v>
      </c>
      <c r="E13" s="1" t="s">
        <v>17</v>
      </c>
      <c r="F13" s="1" t="s">
        <v>13</v>
      </c>
    </row>
    <row r="14" spans="1:6" x14ac:dyDescent="0.2">
      <c r="A14" s="1" t="s">
        <v>23</v>
      </c>
      <c r="B14" s="4">
        <v>2000</v>
      </c>
      <c r="C14" s="1" t="s">
        <v>12</v>
      </c>
      <c r="D14" s="1">
        <v>11</v>
      </c>
      <c r="E14" s="1" t="s">
        <v>8</v>
      </c>
      <c r="F14" s="1" t="s">
        <v>13</v>
      </c>
    </row>
    <row r="15" spans="1:6" x14ac:dyDescent="0.2">
      <c r="A15" s="1" t="s">
        <v>24</v>
      </c>
      <c r="B15" s="4">
        <v>18000</v>
      </c>
      <c r="C15" s="1" t="s">
        <v>12</v>
      </c>
      <c r="D15" s="1">
        <v>9</v>
      </c>
      <c r="E15" s="1" t="s">
        <v>8</v>
      </c>
      <c r="F15" s="1" t="s">
        <v>10</v>
      </c>
    </row>
    <row r="16" spans="1:6" x14ac:dyDescent="0.2">
      <c r="A16" s="1" t="s">
        <v>25</v>
      </c>
      <c r="B16" s="4">
        <v>5000</v>
      </c>
      <c r="C16" s="1" t="s">
        <v>7</v>
      </c>
      <c r="D16" s="1">
        <v>9</v>
      </c>
      <c r="E16" s="1" t="s">
        <v>8</v>
      </c>
      <c r="F16" s="1" t="s">
        <v>10</v>
      </c>
    </row>
    <row r="17" spans="1:6" x14ac:dyDescent="0.2">
      <c r="A17" s="1" t="s">
        <v>26</v>
      </c>
      <c r="B17" s="4">
        <v>10000</v>
      </c>
      <c r="C17" s="1" t="s">
        <v>7</v>
      </c>
      <c r="D17" s="1">
        <v>9</v>
      </c>
      <c r="E17" s="1" t="s">
        <v>8</v>
      </c>
      <c r="F17" s="1" t="s">
        <v>10</v>
      </c>
    </row>
    <row r="18" spans="1:6" x14ac:dyDescent="0.2">
      <c r="A18" s="1" t="s">
        <v>27</v>
      </c>
      <c r="B18" s="4">
        <v>5000</v>
      </c>
      <c r="C18" s="1" t="s">
        <v>12</v>
      </c>
      <c r="D18" s="1">
        <v>9</v>
      </c>
      <c r="E18" s="1" t="s">
        <v>8</v>
      </c>
      <c r="F18" s="1" t="s">
        <v>10</v>
      </c>
    </row>
    <row r="19" spans="1:6" x14ac:dyDescent="0.2">
      <c r="A19" s="1" t="s">
        <v>28</v>
      </c>
      <c r="B19" s="4">
        <v>20000</v>
      </c>
      <c r="C19" s="1" t="s">
        <v>12</v>
      </c>
      <c r="D19" s="1" t="s">
        <v>20</v>
      </c>
      <c r="E19" s="1" t="s">
        <v>8</v>
      </c>
      <c r="F19" s="1" t="s">
        <v>10</v>
      </c>
    </row>
    <row r="20" spans="1:6" x14ac:dyDescent="0.2">
      <c r="A20" s="1" t="s">
        <v>29</v>
      </c>
      <c r="B20" s="4">
        <v>1500</v>
      </c>
      <c r="C20" s="1" t="s">
        <v>12</v>
      </c>
      <c r="D20" s="1">
        <v>9</v>
      </c>
      <c r="E20" s="1" t="s">
        <v>8</v>
      </c>
      <c r="F20" s="1" t="s">
        <v>13</v>
      </c>
    </row>
    <row r="21" spans="1:6" x14ac:dyDescent="0.2">
      <c r="A21" s="1" t="s">
        <v>30</v>
      </c>
      <c r="B21" s="4">
        <v>5000</v>
      </c>
      <c r="C21" s="1" t="s">
        <v>7</v>
      </c>
      <c r="D21" s="1">
        <v>10</v>
      </c>
      <c r="E21" s="1" t="s">
        <v>8</v>
      </c>
      <c r="F21" s="1" t="s">
        <v>13</v>
      </c>
    </row>
    <row r="22" spans="1:6" x14ac:dyDescent="0.2">
      <c r="A22" s="1" t="s">
        <v>31</v>
      </c>
      <c r="B22" s="4">
        <v>15000</v>
      </c>
      <c r="C22" s="1" t="s">
        <v>7</v>
      </c>
      <c r="D22" s="1">
        <v>9</v>
      </c>
      <c r="E22" s="1" t="s">
        <v>8</v>
      </c>
      <c r="F22" s="1" t="s">
        <v>10</v>
      </c>
    </row>
    <row r="23" spans="1:6" x14ac:dyDescent="0.2">
      <c r="A23" s="1" t="s">
        <v>32</v>
      </c>
      <c r="B23" s="4">
        <v>1000</v>
      </c>
      <c r="C23" s="1" t="s">
        <v>7</v>
      </c>
      <c r="D23" s="1">
        <v>9</v>
      </c>
      <c r="E23" s="1" t="s">
        <v>8</v>
      </c>
      <c r="F23" s="1" t="s">
        <v>13</v>
      </c>
    </row>
    <row r="24" spans="1:6" x14ac:dyDescent="0.2">
      <c r="A24" s="1" t="s">
        <v>33</v>
      </c>
      <c r="B24" s="4">
        <v>3000</v>
      </c>
      <c r="C24" s="1" t="s">
        <v>12</v>
      </c>
      <c r="D24" s="1">
        <v>9</v>
      </c>
      <c r="E24" s="1" t="s">
        <v>8</v>
      </c>
      <c r="F24" s="1" t="s">
        <v>13</v>
      </c>
    </row>
    <row r="25" spans="1:6" x14ac:dyDescent="0.2">
      <c r="A25" s="1" t="s">
        <v>34</v>
      </c>
      <c r="B25" s="4">
        <v>30000</v>
      </c>
      <c r="C25" s="1" t="s">
        <v>12</v>
      </c>
      <c r="D25" s="1">
        <v>9</v>
      </c>
      <c r="E25" s="1" t="s">
        <v>8</v>
      </c>
      <c r="F25" s="1" t="s">
        <v>10</v>
      </c>
    </row>
    <row r="26" spans="1:6" x14ac:dyDescent="0.2">
      <c r="A26" s="1" t="s">
        <v>35</v>
      </c>
      <c r="B26" s="4">
        <v>50000</v>
      </c>
      <c r="C26" s="1" t="s">
        <v>7</v>
      </c>
      <c r="D26" s="1">
        <v>9</v>
      </c>
      <c r="E26" s="1" t="s">
        <v>8</v>
      </c>
      <c r="F26" s="1" t="s">
        <v>10</v>
      </c>
    </row>
    <row r="27" spans="1:6" x14ac:dyDescent="0.2">
      <c r="A27" s="1" t="s">
        <v>36</v>
      </c>
      <c r="B27" s="4">
        <v>1000</v>
      </c>
      <c r="C27" s="1" t="s">
        <v>12</v>
      </c>
      <c r="D27" s="1">
        <v>9</v>
      </c>
      <c r="E27" s="1" t="s">
        <v>8</v>
      </c>
      <c r="F27" s="1" t="s">
        <v>13</v>
      </c>
    </row>
    <row r="28" spans="1:6" x14ac:dyDescent="0.2">
      <c r="A28" s="1" t="s">
        <v>37</v>
      </c>
      <c r="B28" s="4">
        <v>2500</v>
      </c>
      <c r="C28" s="1" t="s">
        <v>7</v>
      </c>
      <c r="D28" s="1">
        <v>9</v>
      </c>
      <c r="E28" s="1" t="s">
        <v>8</v>
      </c>
      <c r="F28" s="1" t="s">
        <v>13</v>
      </c>
    </row>
    <row r="29" spans="1:6" x14ac:dyDescent="0.2">
      <c r="A29" s="1" t="s">
        <v>50</v>
      </c>
      <c r="B29" s="4">
        <v>1000</v>
      </c>
      <c r="C29" s="1" t="s">
        <v>7</v>
      </c>
      <c r="D29" s="1">
        <v>9</v>
      </c>
      <c r="E29" s="1" t="s">
        <v>8</v>
      </c>
      <c r="F29" s="1" t="s">
        <v>13</v>
      </c>
    </row>
    <row r="30" spans="1:6" x14ac:dyDescent="0.2">
      <c r="A30" s="1"/>
      <c r="B30" s="4"/>
      <c r="C30" s="1"/>
      <c r="D30" s="1"/>
      <c r="E30" s="1"/>
      <c r="F30" s="1"/>
    </row>
    <row r="31" spans="1:6" x14ac:dyDescent="0.2">
      <c r="A31" s="1" t="s">
        <v>38</v>
      </c>
      <c r="B31" s="4">
        <f>SUM(B5:B29)</f>
        <v>190000</v>
      </c>
      <c r="C31" s="1"/>
      <c r="D31" s="1"/>
      <c r="E31" s="1"/>
      <c r="F31" s="1"/>
    </row>
    <row r="32" spans="1:6" x14ac:dyDescent="0.2">
      <c r="A32" s="1" t="s">
        <v>40</v>
      </c>
      <c r="B32" s="1"/>
      <c r="C32" s="1">
        <f>COUNTIF(C5:C30,"F")</f>
        <v>14</v>
      </c>
      <c r="D32" s="1"/>
      <c r="E32" s="1"/>
      <c r="F32" s="1"/>
    </row>
    <row r="33" spans="1:8" x14ac:dyDescent="0.2">
      <c r="A33" s="1" t="s">
        <v>39</v>
      </c>
      <c r="B33" s="1"/>
      <c r="C33" s="1">
        <f>COUNTIF(C5:C30,"M")</f>
        <v>11</v>
      </c>
      <c r="D33" s="1"/>
      <c r="E33" s="1"/>
      <c r="F33" s="1"/>
    </row>
    <row r="34" spans="1:8" x14ac:dyDescent="0.2">
      <c r="A34" s="1"/>
      <c r="B34" s="4"/>
      <c r="C34" s="1"/>
      <c r="D34" s="1"/>
      <c r="E34" s="1"/>
      <c r="F34" s="1"/>
    </row>
    <row r="35" spans="1:8" x14ac:dyDescent="0.2">
      <c r="A35" s="1" t="s">
        <v>41</v>
      </c>
      <c r="B35" s="4"/>
      <c r="C35" s="1"/>
      <c r="D35" s="1"/>
      <c r="E35" s="1"/>
      <c r="F35" s="1"/>
    </row>
    <row r="36" spans="1:8" x14ac:dyDescent="0.2">
      <c r="A36" s="1" t="s">
        <v>46</v>
      </c>
      <c r="B36" s="4">
        <f>SUMIF(B5:B29,"&lt;5000")</f>
        <v>32000</v>
      </c>
      <c r="C36" s="1"/>
      <c r="D36" s="1"/>
      <c r="E36" s="1"/>
      <c r="F36" s="1"/>
    </row>
    <row r="37" spans="1:8" x14ac:dyDescent="0.2">
      <c r="A37" s="1" t="s">
        <v>47</v>
      </c>
      <c r="B37" s="4">
        <f>SUMIFS(B5:B29,B5:B29,"&gt;=5000",B5:B29,"&lt;=10000")</f>
        <v>25000</v>
      </c>
      <c r="C37" s="1"/>
      <c r="D37" s="1"/>
      <c r="E37" s="1"/>
      <c r="F37" s="1"/>
    </row>
    <row r="38" spans="1:8" x14ac:dyDescent="0.2">
      <c r="A38" s="1" t="s">
        <v>48</v>
      </c>
      <c r="B38" s="4">
        <f>SUMIF(B5:B29,"&gt;10000")</f>
        <v>133000</v>
      </c>
      <c r="C38" s="1"/>
      <c r="D38" s="1"/>
      <c r="E38" s="1"/>
      <c r="F38" s="1"/>
    </row>
    <row r="40" spans="1:8" x14ac:dyDescent="0.2">
      <c r="H40" t="s">
        <v>49</v>
      </c>
    </row>
  </sheetData>
  <printOptions horizontalCentered="1" verticalCentered="1" gridLines="1"/>
  <pageMargins left="0.25" right="0.25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DC27-1348-3A4D-B2EF-79169341E63A}">
  <sheetPr>
    <pageSetUpPr fitToPage="1"/>
  </sheetPr>
  <dimension ref="A1:H40"/>
  <sheetViews>
    <sheetView showFormulas="1" zoomScale="91" workbookViewId="0">
      <selection activeCell="H18" sqref="H18"/>
    </sheetView>
  </sheetViews>
  <sheetFormatPr baseColWidth="10" defaultColWidth="20.83203125" defaultRowHeight="15" x14ac:dyDescent="0.2"/>
  <cols>
    <col min="1" max="1" width="20.6640625" customWidth="1"/>
    <col min="2" max="2" width="21.6640625" customWidth="1"/>
    <col min="3" max="3" width="9.6640625" bestFit="1" customWidth="1"/>
    <col min="4" max="4" width="5" bestFit="1" customWidth="1"/>
    <col min="5" max="5" width="4" bestFit="1" customWidth="1"/>
    <col min="6" max="6" width="7.1640625" bestFit="1" customWidth="1"/>
    <col min="8" max="8" width="1.6640625" bestFit="1" customWidth="1"/>
  </cols>
  <sheetData>
    <row r="1" spans="1:6" x14ac:dyDescent="0.2">
      <c r="A1" s="1" t="s">
        <v>45</v>
      </c>
      <c r="B1" s="1"/>
      <c r="C1" s="1"/>
      <c r="D1" s="1"/>
      <c r="E1" s="1"/>
      <c r="F1" s="1"/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9</v>
      </c>
    </row>
    <row r="5" spans="1:6" x14ac:dyDescent="0.2">
      <c r="A5" s="1" t="s">
        <v>6</v>
      </c>
      <c r="B5" s="4">
        <v>2500</v>
      </c>
      <c r="C5" s="1" t="s">
        <v>7</v>
      </c>
      <c r="D5" s="1">
        <v>10</v>
      </c>
      <c r="E5" s="1" t="s">
        <v>8</v>
      </c>
      <c r="F5" s="1" t="s">
        <v>10</v>
      </c>
    </row>
    <row r="6" spans="1:6" x14ac:dyDescent="0.2">
      <c r="A6" s="1" t="s">
        <v>11</v>
      </c>
      <c r="B6" s="4">
        <v>1000</v>
      </c>
      <c r="C6" s="1" t="s">
        <v>12</v>
      </c>
      <c r="D6" s="1">
        <v>9</v>
      </c>
      <c r="E6" s="1" t="s">
        <v>8</v>
      </c>
      <c r="F6" s="1" t="s">
        <v>13</v>
      </c>
    </row>
    <row r="7" spans="1:6" x14ac:dyDescent="0.2">
      <c r="A7" s="1" t="s">
        <v>14</v>
      </c>
      <c r="B7" s="4">
        <v>1000</v>
      </c>
      <c r="C7" s="1" t="s">
        <v>7</v>
      </c>
      <c r="D7" s="1">
        <v>10</v>
      </c>
      <c r="E7" s="1" t="s">
        <v>8</v>
      </c>
      <c r="F7" s="1" t="s">
        <v>10</v>
      </c>
    </row>
    <row r="8" spans="1:6" x14ac:dyDescent="0.2">
      <c r="A8" s="1" t="s">
        <v>15</v>
      </c>
      <c r="B8" s="4">
        <v>2000</v>
      </c>
      <c r="C8" s="1" t="s">
        <v>7</v>
      </c>
      <c r="D8" s="1">
        <v>11</v>
      </c>
      <c r="E8" s="1" t="s">
        <v>8</v>
      </c>
      <c r="F8" s="1" t="s">
        <v>10</v>
      </c>
    </row>
    <row r="9" spans="1:6" x14ac:dyDescent="0.2">
      <c r="A9" s="1" t="s">
        <v>16</v>
      </c>
      <c r="B9" s="4">
        <v>2500</v>
      </c>
      <c r="C9" s="1" t="s">
        <v>12</v>
      </c>
      <c r="D9" s="1">
        <v>9</v>
      </c>
      <c r="E9" s="1" t="s">
        <v>17</v>
      </c>
      <c r="F9" s="1" t="s">
        <v>10</v>
      </c>
    </row>
    <row r="10" spans="1:6" x14ac:dyDescent="0.2">
      <c r="A10" s="1" t="s">
        <v>18</v>
      </c>
      <c r="B10" s="4">
        <v>1000</v>
      </c>
      <c r="C10" s="1" t="s">
        <v>7</v>
      </c>
      <c r="D10" s="1">
        <v>9</v>
      </c>
      <c r="E10" s="1" t="s">
        <v>8</v>
      </c>
      <c r="F10" s="1" t="s">
        <v>10</v>
      </c>
    </row>
    <row r="11" spans="1:6" x14ac:dyDescent="0.2">
      <c r="A11" s="1" t="s">
        <v>19</v>
      </c>
      <c r="B11" s="4">
        <v>4500</v>
      </c>
      <c r="C11" s="1" t="s">
        <v>7</v>
      </c>
      <c r="D11" s="1" t="s">
        <v>20</v>
      </c>
      <c r="E11" s="1" t="s">
        <v>8</v>
      </c>
      <c r="F11" s="1" t="s">
        <v>10</v>
      </c>
    </row>
    <row r="12" spans="1:6" x14ac:dyDescent="0.2">
      <c r="A12" s="1" t="s">
        <v>21</v>
      </c>
      <c r="B12" s="4">
        <v>3000</v>
      </c>
      <c r="C12" s="1" t="s">
        <v>7</v>
      </c>
      <c r="D12" s="1">
        <v>10</v>
      </c>
      <c r="E12" s="1" t="s">
        <v>17</v>
      </c>
      <c r="F12" s="1" t="s">
        <v>13</v>
      </c>
    </row>
    <row r="13" spans="1:6" x14ac:dyDescent="0.2">
      <c r="A13" s="1" t="s">
        <v>22</v>
      </c>
      <c r="B13" s="4">
        <v>2500</v>
      </c>
      <c r="C13" s="1" t="s">
        <v>12</v>
      </c>
      <c r="D13" s="1">
        <v>9</v>
      </c>
      <c r="E13" s="1" t="s">
        <v>17</v>
      </c>
      <c r="F13" s="1" t="s">
        <v>13</v>
      </c>
    </row>
    <row r="14" spans="1:6" x14ac:dyDescent="0.2">
      <c r="A14" s="1" t="s">
        <v>23</v>
      </c>
      <c r="B14" s="4">
        <v>2000</v>
      </c>
      <c r="C14" s="1" t="s">
        <v>12</v>
      </c>
      <c r="D14" s="1">
        <v>11</v>
      </c>
      <c r="E14" s="1" t="s">
        <v>8</v>
      </c>
      <c r="F14" s="1" t="s">
        <v>13</v>
      </c>
    </row>
    <row r="15" spans="1:6" x14ac:dyDescent="0.2">
      <c r="A15" s="1" t="s">
        <v>24</v>
      </c>
      <c r="B15" s="4">
        <v>18000</v>
      </c>
      <c r="C15" s="1" t="s">
        <v>12</v>
      </c>
      <c r="D15" s="1">
        <v>9</v>
      </c>
      <c r="E15" s="1" t="s">
        <v>8</v>
      </c>
      <c r="F15" s="1" t="s">
        <v>10</v>
      </c>
    </row>
    <row r="16" spans="1:6" x14ac:dyDescent="0.2">
      <c r="A16" s="1" t="s">
        <v>25</v>
      </c>
      <c r="B16" s="4">
        <v>5000</v>
      </c>
      <c r="C16" s="1" t="s">
        <v>7</v>
      </c>
      <c r="D16" s="1">
        <v>9</v>
      </c>
      <c r="E16" s="1" t="s">
        <v>8</v>
      </c>
      <c r="F16" s="1" t="s">
        <v>10</v>
      </c>
    </row>
    <row r="17" spans="1:6" x14ac:dyDescent="0.2">
      <c r="A17" s="1" t="s">
        <v>26</v>
      </c>
      <c r="B17" s="4">
        <v>10000</v>
      </c>
      <c r="C17" s="1" t="s">
        <v>7</v>
      </c>
      <c r="D17" s="1">
        <v>9</v>
      </c>
      <c r="E17" s="1" t="s">
        <v>8</v>
      </c>
      <c r="F17" s="1" t="s">
        <v>10</v>
      </c>
    </row>
    <row r="18" spans="1:6" x14ac:dyDescent="0.2">
      <c r="A18" s="1" t="s">
        <v>27</v>
      </c>
      <c r="B18" s="4">
        <v>5000</v>
      </c>
      <c r="C18" s="1" t="s">
        <v>12</v>
      </c>
      <c r="D18" s="1">
        <v>9</v>
      </c>
      <c r="E18" s="1" t="s">
        <v>8</v>
      </c>
      <c r="F18" s="1" t="s">
        <v>10</v>
      </c>
    </row>
    <row r="19" spans="1:6" x14ac:dyDescent="0.2">
      <c r="A19" s="1" t="s">
        <v>28</v>
      </c>
      <c r="B19" s="4">
        <v>20000</v>
      </c>
      <c r="C19" s="1" t="s">
        <v>12</v>
      </c>
      <c r="D19" s="1" t="s">
        <v>20</v>
      </c>
      <c r="E19" s="1" t="s">
        <v>8</v>
      </c>
      <c r="F19" s="1" t="s">
        <v>10</v>
      </c>
    </row>
    <row r="20" spans="1:6" x14ac:dyDescent="0.2">
      <c r="A20" s="1" t="s">
        <v>29</v>
      </c>
      <c r="B20" s="4">
        <v>1500</v>
      </c>
      <c r="C20" s="1" t="s">
        <v>12</v>
      </c>
      <c r="D20" s="1">
        <v>9</v>
      </c>
      <c r="E20" s="1" t="s">
        <v>8</v>
      </c>
      <c r="F20" s="1" t="s">
        <v>13</v>
      </c>
    </row>
    <row r="21" spans="1:6" x14ac:dyDescent="0.2">
      <c r="A21" s="1" t="s">
        <v>30</v>
      </c>
      <c r="B21" s="4">
        <v>5000</v>
      </c>
      <c r="C21" s="1" t="s">
        <v>7</v>
      </c>
      <c r="D21" s="1">
        <v>10</v>
      </c>
      <c r="E21" s="1" t="s">
        <v>8</v>
      </c>
      <c r="F21" s="1" t="s">
        <v>13</v>
      </c>
    </row>
    <row r="22" spans="1:6" x14ac:dyDescent="0.2">
      <c r="A22" s="1" t="s">
        <v>31</v>
      </c>
      <c r="B22" s="4">
        <v>15000</v>
      </c>
      <c r="C22" s="1" t="s">
        <v>7</v>
      </c>
      <c r="D22" s="1">
        <v>9</v>
      </c>
      <c r="E22" s="1" t="s">
        <v>8</v>
      </c>
      <c r="F22" s="1" t="s">
        <v>10</v>
      </c>
    </row>
    <row r="23" spans="1:6" x14ac:dyDescent="0.2">
      <c r="A23" s="1" t="s">
        <v>32</v>
      </c>
      <c r="B23" s="4">
        <v>1000</v>
      </c>
      <c r="C23" s="1" t="s">
        <v>7</v>
      </c>
      <c r="D23" s="1">
        <v>9</v>
      </c>
      <c r="E23" s="1" t="s">
        <v>8</v>
      </c>
      <c r="F23" s="1" t="s">
        <v>13</v>
      </c>
    </row>
    <row r="24" spans="1:6" x14ac:dyDescent="0.2">
      <c r="A24" s="1" t="s">
        <v>33</v>
      </c>
      <c r="B24" s="4">
        <v>3000</v>
      </c>
      <c r="C24" s="1" t="s">
        <v>12</v>
      </c>
      <c r="D24" s="1">
        <v>9</v>
      </c>
      <c r="E24" s="1" t="s">
        <v>8</v>
      </c>
      <c r="F24" s="1" t="s">
        <v>13</v>
      </c>
    </row>
    <row r="25" spans="1:6" x14ac:dyDescent="0.2">
      <c r="A25" s="1" t="s">
        <v>34</v>
      </c>
      <c r="B25" s="4">
        <v>30000</v>
      </c>
      <c r="C25" s="1" t="s">
        <v>12</v>
      </c>
      <c r="D25" s="1">
        <v>9</v>
      </c>
      <c r="E25" s="1" t="s">
        <v>8</v>
      </c>
      <c r="F25" s="1" t="s">
        <v>10</v>
      </c>
    </row>
    <row r="26" spans="1:6" x14ac:dyDescent="0.2">
      <c r="A26" s="1" t="s">
        <v>35</v>
      </c>
      <c r="B26" s="4">
        <v>50000</v>
      </c>
      <c r="C26" s="1" t="s">
        <v>7</v>
      </c>
      <c r="D26" s="1">
        <v>9</v>
      </c>
      <c r="E26" s="1" t="s">
        <v>8</v>
      </c>
      <c r="F26" s="1" t="s">
        <v>10</v>
      </c>
    </row>
    <row r="27" spans="1:6" x14ac:dyDescent="0.2">
      <c r="A27" s="1" t="s">
        <v>36</v>
      </c>
      <c r="B27" s="4">
        <v>1000</v>
      </c>
      <c r="C27" s="1" t="s">
        <v>12</v>
      </c>
      <c r="D27" s="1">
        <v>9</v>
      </c>
      <c r="E27" s="1" t="s">
        <v>8</v>
      </c>
      <c r="F27" s="1" t="s">
        <v>13</v>
      </c>
    </row>
    <row r="28" spans="1:6" x14ac:dyDescent="0.2">
      <c r="A28" s="1" t="s">
        <v>37</v>
      </c>
      <c r="B28" s="4">
        <v>2500</v>
      </c>
      <c r="C28" s="1" t="s">
        <v>7</v>
      </c>
      <c r="D28" s="1">
        <v>9</v>
      </c>
      <c r="E28" s="1" t="s">
        <v>8</v>
      </c>
      <c r="F28" s="1" t="s">
        <v>13</v>
      </c>
    </row>
    <row r="29" spans="1:6" x14ac:dyDescent="0.2">
      <c r="A29" s="1" t="s">
        <v>50</v>
      </c>
      <c r="B29" s="4">
        <v>1000</v>
      </c>
      <c r="C29" s="1" t="s">
        <v>7</v>
      </c>
      <c r="D29" s="1">
        <v>9</v>
      </c>
      <c r="E29" s="1" t="s">
        <v>8</v>
      </c>
      <c r="F29" s="1" t="s">
        <v>13</v>
      </c>
    </row>
    <row r="30" spans="1:6" x14ac:dyDescent="0.2">
      <c r="A30" s="1"/>
      <c r="B30" s="4"/>
      <c r="C30" s="1"/>
      <c r="D30" s="1"/>
      <c r="E30" s="1"/>
      <c r="F30" s="1"/>
    </row>
    <row r="31" spans="1:6" x14ac:dyDescent="0.2">
      <c r="A31" s="1" t="s">
        <v>38</v>
      </c>
      <c r="B31" s="4">
        <f>SUM(B5:B29)</f>
        <v>190000</v>
      </c>
      <c r="C31" s="1"/>
      <c r="D31" s="1"/>
      <c r="E31" s="1"/>
      <c r="F31" s="1"/>
    </row>
    <row r="32" spans="1:6" x14ac:dyDescent="0.2">
      <c r="A32" s="1" t="s">
        <v>40</v>
      </c>
      <c r="B32" s="1"/>
      <c r="C32" s="1">
        <f>COUNTIF(C5:C30,"F")</f>
        <v>14</v>
      </c>
      <c r="D32" s="1"/>
      <c r="E32" s="1"/>
      <c r="F32" s="1"/>
    </row>
    <row r="33" spans="1:8" x14ac:dyDescent="0.2">
      <c r="A33" s="1" t="s">
        <v>39</v>
      </c>
      <c r="B33" s="1"/>
      <c r="C33" s="1">
        <f>COUNTIF(C5:C30,"M")</f>
        <v>11</v>
      </c>
      <c r="D33" s="1"/>
      <c r="E33" s="1"/>
      <c r="F33" s="1"/>
    </row>
    <row r="34" spans="1:8" x14ac:dyDescent="0.2">
      <c r="A34" s="1"/>
      <c r="B34" s="4"/>
      <c r="C34" s="1"/>
      <c r="D34" s="1"/>
      <c r="E34" s="1"/>
      <c r="F34" s="1"/>
    </row>
    <row r="35" spans="1:8" x14ac:dyDescent="0.2">
      <c r="A35" s="1" t="s">
        <v>41</v>
      </c>
      <c r="B35" s="4"/>
      <c r="C35" s="1"/>
      <c r="D35" s="1"/>
      <c r="E35" s="1"/>
      <c r="F35" s="1"/>
    </row>
    <row r="36" spans="1:8" x14ac:dyDescent="0.2">
      <c r="A36" s="1" t="s">
        <v>46</v>
      </c>
      <c r="B36" s="4">
        <f>SUMIF(B5:B29,"&lt;5000")</f>
        <v>32000</v>
      </c>
      <c r="C36" s="1"/>
      <c r="D36" s="1"/>
      <c r="E36" s="1"/>
      <c r="F36" s="1"/>
    </row>
    <row r="37" spans="1:8" x14ac:dyDescent="0.2">
      <c r="A37" s="1" t="s">
        <v>47</v>
      </c>
      <c r="B37" s="4">
        <f>SUMIFS(B5:B29,B5:B29,"&gt;=5000",B5:B29,"&lt;=10000")</f>
        <v>25000</v>
      </c>
      <c r="C37" s="1"/>
      <c r="D37" s="1"/>
      <c r="E37" s="1"/>
      <c r="F37" s="1"/>
    </row>
    <row r="38" spans="1:8" x14ac:dyDescent="0.2">
      <c r="A38" s="1" t="s">
        <v>48</v>
      </c>
      <c r="B38" s="4">
        <f>SUMIF(B5:B29,"&gt;10000")</f>
        <v>133000</v>
      </c>
      <c r="C38" s="1"/>
      <c r="D38" s="1"/>
      <c r="E38" s="1"/>
      <c r="F38" s="1"/>
    </row>
    <row r="40" spans="1:8" x14ac:dyDescent="0.2">
      <c r="H40" t="s">
        <v>49</v>
      </c>
    </row>
  </sheetData>
  <printOptions horizontalCentered="1" verticalCentered="1" gridLines="1"/>
  <pageMargins left="0.25" right="0.25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D2D3-70A7-DB47-9AAD-2B8E9445E93E}">
  <sheetPr>
    <pageSetUpPr fitToPage="1"/>
  </sheetPr>
  <dimension ref="A1:F41"/>
  <sheetViews>
    <sheetView zoomScale="86" zoomScaleNormal="75" workbookViewId="0">
      <selection activeCell="A39" sqref="A39:B41"/>
    </sheetView>
  </sheetViews>
  <sheetFormatPr baseColWidth="10" defaultColWidth="41.1640625" defaultRowHeight="15" x14ac:dyDescent="0.2"/>
  <cols>
    <col min="1" max="1" width="41" bestFit="1" customWidth="1"/>
    <col min="2" max="2" width="12.83203125" bestFit="1" customWidth="1"/>
    <col min="3" max="3" width="7" bestFit="1" customWidth="1"/>
    <col min="4" max="4" width="10.33203125" bestFit="1" customWidth="1"/>
    <col min="5" max="5" width="13.33203125" bestFit="1" customWidth="1"/>
    <col min="6" max="6" width="14.6640625" bestFit="1" customWidth="1"/>
  </cols>
  <sheetData>
    <row r="1" spans="1:6" ht="17" x14ac:dyDescent="0.2">
      <c r="A1" s="6" t="s">
        <v>45</v>
      </c>
      <c r="B1" s="6"/>
      <c r="C1" s="6"/>
      <c r="D1" s="6"/>
      <c r="E1" s="6"/>
      <c r="F1" s="6"/>
    </row>
    <row r="2" spans="1:6" ht="16" x14ac:dyDescent="0.2">
      <c r="A2" s="7" t="s">
        <v>0</v>
      </c>
      <c r="B2" s="7"/>
      <c r="C2" s="7"/>
      <c r="D2" s="7"/>
      <c r="E2" s="7"/>
      <c r="F2" s="7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9</v>
      </c>
    </row>
    <row r="5" spans="1:6" x14ac:dyDescent="0.2">
      <c r="A5" s="1" t="s">
        <v>11</v>
      </c>
      <c r="B5" s="4">
        <v>1000</v>
      </c>
      <c r="C5" s="2" t="s">
        <v>12</v>
      </c>
      <c r="D5" s="1">
        <v>9</v>
      </c>
      <c r="E5" s="1" t="s">
        <v>8</v>
      </c>
      <c r="F5" s="1" t="s">
        <v>13</v>
      </c>
    </row>
    <row r="6" spans="1:6" x14ac:dyDescent="0.2">
      <c r="A6" s="1" t="s">
        <v>21</v>
      </c>
      <c r="B6" s="4">
        <v>3000</v>
      </c>
      <c r="C6" s="2" t="s">
        <v>7</v>
      </c>
      <c r="D6" s="1">
        <v>10</v>
      </c>
      <c r="E6" s="1" t="s">
        <v>17</v>
      </c>
      <c r="F6" s="1" t="s">
        <v>13</v>
      </c>
    </row>
    <row r="7" spans="1:6" x14ac:dyDescent="0.2">
      <c r="A7" s="1" t="s">
        <v>22</v>
      </c>
      <c r="B7" s="4">
        <v>2500</v>
      </c>
      <c r="C7" s="2" t="s">
        <v>12</v>
      </c>
      <c r="D7" s="1">
        <v>9</v>
      </c>
      <c r="E7" s="1" t="s">
        <v>17</v>
      </c>
      <c r="F7" s="1" t="s">
        <v>13</v>
      </c>
    </row>
    <row r="8" spans="1:6" x14ac:dyDescent="0.2">
      <c r="A8" s="1" t="s">
        <v>23</v>
      </c>
      <c r="B8" s="4">
        <v>2000</v>
      </c>
      <c r="C8" s="2" t="s">
        <v>12</v>
      </c>
      <c r="D8" s="1">
        <v>11</v>
      </c>
      <c r="E8" s="1" t="s">
        <v>8</v>
      </c>
      <c r="F8" s="1" t="s">
        <v>13</v>
      </c>
    </row>
    <row r="9" spans="1:6" x14ac:dyDescent="0.2">
      <c r="A9" s="1" t="s">
        <v>29</v>
      </c>
      <c r="B9" s="4">
        <v>1500</v>
      </c>
      <c r="C9" s="2" t="s">
        <v>12</v>
      </c>
      <c r="D9" s="1">
        <v>9</v>
      </c>
      <c r="E9" s="1" t="s">
        <v>8</v>
      </c>
      <c r="F9" s="1" t="s">
        <v>13</v>
      </c>
    </row>
    <row r="10" spans="1:6" x14ac:dyDescent="0.2">
      <c r="A10" s="1" t="s">
        <v>30</v>
      </c>
      <c r="B10" s="4">
        <v>5000</v>
      </c>
      <c r="C10" s="2" t="s">
        <v>7</v>
      </c>
      <c r="D10" s="1">
        <v>10</v>
      </c>
      <c r="E10" s="1" t="s">
        <v>8</v>
      </c>
      <c r="F10" s="1" t="s">
        <v>13</v>
      </c>
    </row>
    <row r="11" spans="1:6" x14ac:dyDescent="0.2">
      <c r="A11" s="1" t="s">
        <v>32</v>
      </c>
      <c r="B11" s="4">
        <v>1000</v>
      </c>
      <c r="C11" s="2" t="s">
        <v>7</v>
      </c>
      <c r="D11" s="1">
        <v>9</v>
      </c>
      <c r="E11" s="1" t="s">
        <v>8</v>
      </c>
      <c r="F11" s="1" t="s">
        <v>13</v>
      </c>
    </row>
    <row r="12" spans="1:6" x14ac:dyDescent="0.2">
      <c r="A12" s="1" t="s">
        <v>33</v>
      </c>
      <c r="B12" s="4">
        <v>3000</v>
      </c>
      <c r="C12" s="2" t="s">
        <v>12</v>
      </c>
      <c r="D12" s="1">
        <v>9</v>
      </c>
      <c r="E12" s="1" t="s">
        <v>8</v>
      </c>
      <c r="F12" s="1" t="s">
        <v>13</v>
      </c>
    </row>
    <row r="13" spans="1:6" x14ac:dyDescent="0.2">
      <c r="A13" s="1" t="s">
        <v>36</v>
      </c>
      <c r="B13" s="4">
        <v>1000</v>
      </c>
      <c r="C13" s="2" t="s">
        <v>12</v>
      </c>
      <c r="D13" s="1">
        <v>9</v>
      </c>
      <c r="E13" s="1" t="s">
        <v>8</v>
      </c>
      <c r="F13" s="1" t="s">
        <v>13</v>
      </c>
    </row>
    <row r="14" spans="1:6" x14ac:dyDescent="0.2">
      <c r="A14" s="1" t="s">
        <v>50</v>
      </c>
      <c r="B14" s="4">
        <v>1000</v>
      </c>
      <c r="C14" s="2" t="s">
        <v>7</v>
      </c>
      <c r="D14" s="1">
        <v>9</v>
      </c>
      <c r="E14" s="1" t="s">
        <v>8</v>
      </c>
      <c r="F14" s="1" t="s">
        <v>13</v>
      </c>
    </row>
    <row r="15" spans="1:6" x14ac:dyDescent="0.2">
      <c r="A15" s="1" t="s">
        <v>37</v>
      </c>
      <c r="B15" s="4">
        <v>2500</v>
      </c>
      <c r="C15" s="2" t="s">
        <v>7</v>
      </c>
      <c r="D15" s="1">
        <v>9</v>
      </c>
      <c r="E15" s="1" t="s">
        <v>8</v>
      </c>
      <c r="F15" s="1" t="s">
        <v>13</v>
      </c>
    </row>
    <row r="16" spans="1:6" x14ac:dyDescent="0.2">
      <c r="A16" s="1"/>
      <c r="B16" s="4"/>
      <c r="C16" s="2"/>
      <c r="D16" s="1"/>
      <c r="E16" s="5" t="s">
        <v>42</v>
      </c>
      <c r="F16" s="1">
        <f>COUNTIF(F5:F15,"Recipient")</f>
        <v>11</v>
      </c>
    </row>
    <row r="17" spans="1:6" x14ac:dyDescent="0.2">
      <c r="A17" s="1" t="s">
        <v>6</v>
      </c>
      <c r="B17" s="4">
        <v>2500</v>
      </c>
      <c r="C17" s="2" t="s">
        <v>7</v>
      </c>
      <c r="D17" s="1">
        <v>10</v>
      </c>
      <c r="E17" s="1" t="s">
        <v>8</v>
      </c>
      <c r="F17" s="1" t="s">
        <v>10</v>
      </c>
    </row>
    <row r="18" spans="1:6" x14ac:dyDescent="0.2">
      <c r="A18" s="1" t="s">
        <v>14</v>
      </c>
      <c r="B18" s="4">
        <v>1000</v>
      </c>
      <c r="C18" s="2" t="s">
        <v>7</v>
      </c>
      <c r="D18" s="1">
        <v>10</v>
      </c>
      <c r="E18" s="1" t="s">
        <v>8</v>
      </c>
      <c r="F18" s="1" t="s">
        <v>10</v>
      </c>
    </row>
    <row r="19" spans="1:6" x14ac:dyDescent="0.2">
      <c r="A19" s="1" t="s">
        <v>15</v>
      </c>
      <c r="B19" s="4">
        <v>2000</v>
      </c>
      <c r="C19" s="2" t="s">
        <v>7</v>
      </c>
      <c r="D19" s="1">
        <v>11</v>
      </c>
      <c r="E19" s="1" t="s">
        <v>8</v>
      </c>
      <c r="F19" s="1" t="s">
        <v>10</v>
      </c>
    </row>
    <row r="20" spans="1:6" x14ac:dyDescent="0.2">
      <c r="A20" s="1" t="s">
        <v>16</v>
      </c>
      <c r="B20" s="4">
        <v>2500</v>
      </c>
      <c r="C20" s="2" t="s">
        <v>12</v>
      </c>
      <c r="D20" s="1">
        <v>9</v>
      </c>
      <c r="E20" s="1" t="s">
        <v>17</v>
      </c>
      <c r="F20" s="1" t="s">
        <v>10</v>
      </c>
    </row>
    <row r="21" spans="1:6" x14ac:dyDescent="0.2">
      <c r="A21" s="1" t="s">
        <v>18</v>
      </c>
      <c r="B21" s="4">
        <v>1000</v>
      </c>
      <c r="C21" s="2" t="s">
        <v>7</v>
      </c>
      <c r="D21" s="1">
        <v>9</v>
      </c>
      <c r="E21" s="1" t="s">
        <v>8</v>
      </c>
      <c r="F21" s="1" t="s">
        <v>10</v>
      </c>
    </row>
    <row r="22" spans="1:6" x14ac:dyDescent="0.2">
      <c r="A22" s="1" t="s">
        <v>19</v>
      </c>
      <c r="B22" s="4">
        <v>4500</v>
      </c>
      <c r="C22" s="2" t="s">
        <v>7</v>
      </c>
      <c r="D22" s="1" t="s">
        <v>20</v>
      </c>
      <c r="E22" s="1" t="s">
        <v>8</v>
      </c>
      <c r="F22" s="1" t="s">
        <v>10</v>
      </c>
    </row>
    <row r="23" spans="1:6" x14ac:dyDescent="0.2">
      <c r="A23" s="1" t="s">
        <v>24</v>
      </c>
      <c r="B23" s="4">
        <v>18000</v>
      </c>
      <c r="C23" s="2" t="s">
        <v>12</v>
      </c>
      <c r="D23" s="1">
        <v>9</v>
      </c>
      <c r="E23" s="1" t="s">
        <v>8</v>
      </c>
      <c r="F23" s="1" t="s">
        <v>10</v>
      </c>
    </row>
    <row r="24" spans="1:6" x14ac:dyDescent="0.2">
      <c r="A24" s="1" t="s">
        <v>25</v>
      </c>
      <c r="B24" s="4">
        <v>5000</v>
      </c>
      <c r="C24" s="2" t="s">
        <v>7</v>
      </c>
      <c r="D24" s="1">
        <v>9</v>
      </c>
      <c r="E24" s="1" t="s">
        <v>8</v>
      </c>
      <c r="F24" s="1" t="s">
        <v>10</v>
      </c>
    </row>
    <row r="25" spans="1:6" x14ac:dyDescent="0.2">
      <c r="A25" s="1" t="s">
        <v>26</v>
      </c>
      <c r="B25" s="4">
        <v>10000</v>
      </c>
      <c r="C25" s="2" t="s">
        <v>7</v>
      </c>
      <c r="D25" s="1">
        <v>9</v>
      </c>
      <c r="E25" s="1" t="s">
        <v>8</v>
      </c>
      <c r="F25" s="1" t="s">
        <v>10</v>
      </c>
    </row>
    <row r="26" spans="1:6" x14ac:dyDescent="0.2">
      <c r="A26" s="1" t="s">
        <v>27</v>
      </c>
      <c r="B26" s="4">
        <v>5000</v>
      </c>
      <c r="C26" s="2" t="s">
        <v>12</v>
      </c>
      <c r="D26" s="1">
        <v>9</v>
      </c>
      <c r="E26" s="1" t="s">
        <v>8</v>
      </c>
      <c r="F26" s="1" t="s">
        <v>10</v>
      </c>
    </row>
    <row r="27" spans="1:6" x14ac:dyDescent="0.2">
      <c r="A27" s="1" t="s">
        <v>28</v>
      </c>
      <c r="B27" s="4">
        <v>20000</v>
      </c>
      <c r="C27" s="2" t="s">
        <v>12</v>
      </c>
      <c r="D27" s="1" t="s">
        <v>20</v>
      </c>
      <c r="E27" s="1" t="s">
        <v>8</v>
      </c>
      <c r="F27" s="1" t="s">
        <v>10</v>
      </c>
    </row>
    <row r="28" spans="1:6" x14ac:dyDescent="0.2">
      <c r="A28" s="1" t="s">
        <v>31</v>
      </c>
      <c r="B28" s="4">
        <v>15000</v>
      </c>
      <c r="C28" s="2" t="s">
        <v>7</v>
      </c>
      <c r="D28" s="1">
        <v>9</v>
      </c>
      <c r="E28" s="1" t="s">
        <v>8</v>
      </c>
      <c r="F28" s="1" t="s">
        <v>10</v>
      </c>
    </row>
    <row r="29" spans="1:6" x14ac:dyDescent="0.2">
      <c r="A29" s="1" t="s">
        <v>34</v>
      </c>
      <c r="B29" s="4">
        <v>30000</v>
      </c>
      <c r="C29" s="2" t="s">
        <v>12</v>
      </c>
      <c r="D29" s="1">
        <v>9</v>
      </c>
      <c r="E29" s="1" t="s">
        <v>8</v>
      </c>
      <c r="F29" s="1" t="s">
        <v>10</v>
      </c>
    </row>
    <row r="30" spans="1:6" x14ac:dyDescent="0.2">
      <c r="A30" s="1" t="s">
        <v>35</v>
      </c>
      <c r="B30" s="4">
        <v>50000</v>
      </c>
      <c r="C30" s="2" t="s">
        <v>7</v>
      </c>
      <c r="D30" s="1">
        <v>9</v>
      </c>
      <c r="E30" s="1" t="s">
        <v>8</v>
      </c>
      <c r="F30" s="1" t="s">
        <v>10</v>
      </c>
    </row>
    <row r="31" spans="1:6" x14ac:dyDescent="0.2">
      <c r="A31" s="1"/>
      <c r="B31" s="4"/>
      <c r="C31" s="1"/>
      <c r="D31" s="1"/>
      <c r="E31" s="5" t="s">
        <v>43</v>
      </c>
      <c r="F31" s="1">
        <f>COUNTIF(F17:F30,"School")</f>
        <v>14</v>
      </c>
    </row>
    <row r="32" spans="1:6" x14ac:dyDescent="0.2">
      <c r="A32" s="1"/>
      <c r="B32" s="4"/>
      <c r="C32" s="1"/>
      <c r="D32" s="1"/>
      <c r="E32" s="5" t="s">
        <v>44</v>
      </c>
      <c r="F32" s="1">
        <f>SUM(F31,F16)</f>
        <v>25</v>
      </c>
    </row>
    <row r="33" spans="1:6" x14ac:dyDescent="0.2">
      <c r="A33" s="1"/>
      <c r="B33" s="4"/>
      <c r="C33" s="1"/>
      <c r="D33" s="1"/>
      <c r="E33" s="1"/>
      <c r="F33" s="1"/>
    </row>
    <row r="34" spans="1:6" x14ac:dyDescent="0.2">
      <c r="A34" s="1" t="s">
        <v>38</v>
      </c>
      <c r="B34" s="4">
        <f>SUM(B5:B30)</f>
        <v>190000</v>
      </c>
      <c r="C34" s="1"/>
      <c r="D34" s="1"/>
      <c r="E34" s="1"/>
      <c r="F34" s="1"/>
    </row>
    <row r="35" spans="1:6" x14ac:dyDescent="0.2">
      <c r="A35" s="1" t="s">
        <v>40</v>
      </c>
      <c r="B35" s="1"/>
      <c r="C35" s="1">
        <f>COUNTIF(C5:C33,"F")</f>
        <v>14</v>
      </c>
      <c r="D35" s="1"/>
      <c r="E35" s="1"/>
      <c r="F35" s="1"/>
    </row>
    <row r="36" spans="1:6" x14ac:dyDescent="0.2">
      <c r="A36" s="1" t="s">
        <v>39</v>
      </c>
      <c r="B36" s="1"/>
      <c r="C36" s="1">
        <f>COUNTIF(C5:C33,"M")</f>
        <v>11</v>
      </c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 t="s">
        <v>41</v>
      </c>
      <c r="B38" s="1"/>
      <c r="C38" s="1"/>
      <c r="D38" s="1"/>
      <c r="E38" s="1"/>
      <c r="F38" s="1"/>
    </row>
    <row r="39" spans="1:6" x14ac:dyDescent="0.2">
      <c r="A39" s="1" t="s">
        <v>46</v>
      </c>
      <c r="B39" s="4">
        <f>SUMIF(B5:B30,"&lt;5000")</f>
        <v>32000</v>
      </c>
      <c r="C39" s="1"/>
      <c r="D39" s="1"/>
      <c r="E39" s="1"/>
      <c r="F39" s="1"/>
    </row>
    <row r="40" spans="1:6" x14ac:dyDescent="0.2">
      <c r="A40" s="1" t="s">
        <v>47</v>
      </c>
      <c r="B40" s="4">
        <f>SUMIFS(B5:B30,B5:B30,"&gt;=5000",B5:B30,"&lt;=10000")</f>
        <v>25000</v>
      </c>
      <c r="C40" s="1"/>
      <c r="D40" s="1"/>
      <c r="E40" s="1"/>
      <c r="F40" s="1"/>
    </row>
    <row r="41" spans="1:6" x14ac:dyDescent="0.2">
      <c r="A41" s="1" t="s">
        <v>48</v>
      </c>
      <c r="B41" s="4">
        <f>SUMIF(B5:B30,"&gt;10000")</f>
        <v>133000</v>
      </c>
      <c r="C41" s="1"/>
      <c r="D41" s="1"/>
      <c r="E41" s="1"/>
      <c r="F41" s="1"/>
    </row>
  </sheetData>
  <sortState xmlns:xlrd2="http://schemas.microsoft.com/office/spreadsheetml/2017/richdata2" ref="A5:F15">
    <sortCondition ref="A5:A15"/>
  </sortState>
  <mergeCells count="2">
    <mergeCell ref="A1:F1"/>
    <mergeCell ref="A2:F2"/>
  </mergeCells>
  <printOptions horizontalCentered="1" verticalCentered="1" gridLines="1"/>
  <pageMargins left="0.25" right="0.25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Job 1</vt:lpstr>
      <vt:lpstr>Job 1 (Formulas)</vt:lpstr>
      <vt:lpstr>Job 2 Formatted</vt:lpstr>
      <vt:lpstr>Monetary Breakdown Chart</vt:lpstr>
    </vt:vector>
  </TitlesOfParts>
  <Company>Aldine 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Vines</dc:creator>
  <cp:lastModifiedBy>Patrick Schultz</cp:lastModifiedBy>
  <cp:lastPrinted>2021-12-30T19:25:30Z</cp:lastPrinted>
  <dcterms:created xsi:type="dcterms:W3CDTF">2020-12-08T15:12:22Z</dcterms:created>
  <dcterms:modified xsi:type="dcterms:W3CDTF">2022-01-13T15:18:20Z</dcterms:modified>
</cp:coreProperties>
</file>