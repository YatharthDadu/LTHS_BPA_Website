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/>
  <mc:AlternateContent xmlns:mc="http://schemas.openxmlformats.org/markup-compatibility/2006">
    <mc:Choice Requires="x15">
      <x15ac:absPath xmlns:x15ac="http://schemas.microsoft.com/office/spreadsheetml/2010/11/ac" url="C:\Users\BODIDDLE\Desktop\2019 State Tests\BA\235-Advanced Spreadsheet_S_2019-NO ANGIE\"/>
    </mc:Choice>
  </mc:AlternateContent>
  <xr:revisionPtr revIDLastSave="0" documentId="13_ncr:1_{B12E5474-F471-4625-837C-7AC3AEF57819}" xr6:coauthVersionLast="38" xr6:coauthVersionMax="38" xr10:uidLastSave="{00000000-0000-0000-0000-000000000000}"/>
  <bookViews>
    <workbookView xWindow="0" yWindow="0" windowWidth="20490" windowHeight="7485" xr2:uid="{00000000-000D-0000-FFFF-FFFF00000000}"/>
  </bookViews>
  <sheets>
    <sheet name="PayReport" sheetId="6" r:id="rId1"/>
    <sheet name="PayReport Formatted" sheetId="1" r:id="rId2"/>
    <sheet name="Formulas" sheetId="5" r:id="rId3"/>
    <sheet name="PayDataTable" sheetId="2" r:id="rId4"/>
    <sheet name="PivotTable_Chart" sheetId="4" r:id="rId5"/>
  </sheets>
  <calcPr calcId="17902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4" i="6" l="1"/>
  <c r="D14" i="6"/>
  <c r="E14" i="6"/>
  <c r="B15" i="1"/>
  <c r="E13" i="6"/>
  <c r="D13" i="6"/>
  <c r="C13" i="6"/>
  <c r="E12" i="6"/>
  <c r="D12" i="6"/>
  <c r="C12" i="6"/>
  <c r="E11" i="6"/>
  <c r="D11" i="6"/>
  <c r="C11" i="6"/>
  <c r="E10" i="6"/>
  <c r="D10" i="6"/>
  <c r="C10" i="6"/>
  <c r="E9" i="6"/>
  <c r="D9" i="6"/>
  <c r="C9" i="6"/>
  <c r="E8" i="6"/>
  <c r="D8" i="6"/>
  <c r="C8" i="6"/>
  <c r="E7" i="6"/>
  <c r="D7" i="6"/>
  <c r="C7" i="6"/>
  <c r="E6" i="6"/>
  <c r="D6" i="6"/>
  <c r="C6" i="6"/>
  <c r="E5" i="6"/>
  <c r="D5" i="6"/>
  <c r="C5" i="6"/>
  <c r="E3" i="6"/>
  <c r="E14" i="1" l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  <c r="E7" i="1"/>
  <c r="D7" i="1"/>
  <c r="C7" i="1"/>
  <c r="E6" i="1"/>
  <c r="D6" i="1"/>
  <c r="C6" i="1"/>
  <c r="E5" i="1"/>
  <c r="D5" i="1"/>
  <c r="C5" i="1"/>
  <c r="E3" i="1"/>
  <c r="B21" i="1" l="1"/>
  <c r="B20" i="1"/>
</calcChain>
</file>

<file path=xl/sharedStrings.xml><?xml version="1.0" encoding="utf-8"?>
<sst xmlns="http://schemas.openxmlformats.org/spreadsheetml/2006/main" count="60" uniqueCount="36">
  <si>
    <t>City Market Payroll</t>
  </si>
  <si>
    <t>Employee ID</t>
  </si>
  <si>
    <t>Last Name</t>
  </si>
  <si>
    <t>First Name</t>
  </si>
  <si>
    <t>Dillon</t>
  </si>
  <si>
    <t>Jake</t>
  </si>
  <si>
    <t>Cline</t>
  </si>
  <si>
    <t>Sidney</t>
  </si>
  <si>
    <t>Smith</t>
  </si>
  <si>
    <t>Elizabeth</t>
  </si>
  <si>
    <t>Peters</t>
  </si>
  <si>
    <t>John</t>
  </si>
  <si>
    <t>Fowles</t>
  </si>
  <si>
    <t>Bret</t>
  </si>
  <si>
    <t>Young</t>
  </si>
  <si>
    <t>Lucy</t>
  </si>
  <si>
    <t>Manning</t>
  </si>
  <si>
    <t>Woods</t>
  </si>
  <si>
    <t>Allison</t>
  </si>
  <si>
    <t>Stark</t>
  </si>
  <si>
    <t>Toney</t>
  </si>
  <si>
    <t>Brad</t>
  </si>
  <si>
    <t>William</t>
  </si>
  <si>
    <t>Peter</t>
  </si>
  <si>
    <t>Gender</t>
  </si>
  <si>
    <t>M</t>
  </si>
  <si>
    <t>F</t>
  </si>
  <si>
    <t>Pay Report</t>
  </si>
  <si>
    <t xml:space="preserve">Pay </t>
  </si>
  <si>
    <t>OutPut Area</t>
  </si>
  <si>
    <t>Female Count</t>
  </si>
  <si>
    <t>Male Count</t>
  </si>
  <si>
    <t>Total</t>
  </si>
  <si>
    <t>Row Labels</t>
  </si>
  <si>
    <t>Grand Total</t>
  </si>
  <si>
    <t xml:space="preserve">Average of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</si>
</sst>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&quot;$&quot;#,##0"/>
    <numFmt numFmtId="165" formatCode="[$-409]d\-mmm\-yy;@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9BC2E6"/>
      </left>
      <right/>
      <top style="thin">
        <color rgb="FF9BC2E6"/>
      </top>
      <bottom/>
      <diagonal/>
    </border>
    <border>
      <left/>
      <right/>
      <top style="thin">
        <color rgb="FF9BC2E6"/>
      </top>
      <bottom/>
      <diagonal/>
    </border>
    <border>
      <left/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/>
      <top style="thin">
        <color theme="4" tint="0.39997558519241921"/>
      </top>
      <bottom style="thin">
        <color rgb="FF9BC2E6"/>
      </bottom>
      <diagonal/>
    </border>
    <border>
      <left/>
      <right/>
      <top style="thin">
        <color theme="4" tint="0.39997558519241921"/>
      </top>
      <bottom style="thin">
        <color rgb="FF9BC2E6"/>
      </bottom>
      <diagonal/>
    </border>
    <border>
      <left/>
      <right style="thin">
        <color rgb="FF9BC2E6"/>
      </right>
      <top style="thin">
        <color theme="4" tint="0.39997558519241921"/>
      </top>
      <bottom style="thin">
        <color rgb="FF9BC2E6"/>
      </bottom>
      <diagonal/>
    </border>
    <border>
      <left style="thin">
        <color rgb="FF9BC2E6"/>
      </left>
      <right/>
      <top style="thin">
        <color theme="4" tint="0.39997558519241921"/>
      </top>
      <bottom/>
      <diagonal/>
    </border>
    <border>
      <left/>
      <right style="thin">
        <color rgb="FF9BC2E6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165" fontId="4" fillId="0" borderId="0" xfId="0" applyNumberFormat="1" applyFont="1"/>
    <xf numFmtId="164" fontId="4" fillId="0" borderId="2" xfId="0" applyNumberFormat="1" applyFont="1" applyBorder="1"/>
    <xf numFmtId="0" fontId="4" fillId="3" borderId="2" xfId="0" applyFont="1" applyFill="1" applyBorder="1"/>
    <xf numFmtId="0" fontId="4" fillId="0" borderId="2" xfId="0" applyFont="1" applyBorder="1"/>
    <xf numFmtId="0" fontId="6" fillId="2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/>
    </xf>
    <xf numFmtId="0" fontId="7" fillId="0" borderId="0" xfId="0" applyFont="1" applyBorder="1"/>
    <xf numFmtId="0" fontId="7" fillId="3" borderId="0" xfId="0" applyFont="1" applyFill="1" applyBorder="1"/>
    <xf numFmtId="164" fontId="7" fillId="0" borderId="0" xfId="0" applyNumberFormat="1" applyFont="1" applyBorder="1"/>
    <xf numFmtId="0" fontId="0" fillId="0" borderId="0" xfId="0" pivotButton="1"/>
    <xf numFmtId="49" fontId="4" fillId="3" borderId="2" xfId="0" applyNumberFormat="1" applyFont="1" applyFill="1" applyBorder="1" applyAlignment="1">
      <alignment horizontal="left"/>
    </xf>
    <xf numFmtId="5" fontId="0" fillId="0" borderId="0" xfId="0" applyNumberFormat="1"/>
    <xf numFmtId="164" fontId="4" fillId="0" borderId="7" xfId="0" applyNumberFormat="1" applyFont="1" applyBorder="1"/>
    <xf numFmtId="0" fontId="4" fillId="0" borderId="7" xfId="0" applyFont="1" applyBorder="1"/>
    <xf numFmtId="49" fontId="4" fillId="4" borderId="9" xfId="0" applyNumberFormat="1" applyFont="1" applyFill="1" applyBorder="1" applyAlignment="1">
      <alignment horizontal="left"/>
    </xf>
    <xf numFmtId="49" fontId="4" fillId="4" borderId="6" xfId="0" applyNumberFormat="1" applyFont="1" applyFill="1" applyBorder="1" applyAlignment="1">
      <alignment horizontal="left"/>
    </xf>
    <xf numFmtId="0" fontId="4" fillId="4" borderId="2" xfId="0" applyFont="1" applyFill="1" applyBorder="1"/>
    <xf numFmtId="0" fontId="4" fillId="4" borderId="7" xfId="0" applyFont="1" applyFill="1" applyBorder="1"/>
    <xf numFmtId="0" fontId="4" fillId="4" borderId="10" xfId="0" applyFont="1" applyFill="1" applyBorder="1"/>
    <xf numFmtId="0" fontId="4" fillId="4" borderId="8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0" borderId="0" xfId="1" applyBorder="1" applyAlignment="1">
      <alignment horizontal="center"/>
    </xf>
    <xf numFmtId="0" fontId="2" fillId="0" borderId="0" xfId="2" applyAlignment="1">
      <alignment horizontal="center"/>
    </xf>
  </cellXfs>
  <cellStyles count="3">
    <cellStyle name="Heading 1" xfId="1" builtinId="16"/>
    <cellStyle name="Heading 4" xfId="2" builtinId="19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&quot;$&quot;#,##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&quot;$&quot;#,##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[235_AdvSpreadS19_ContestantNumber Key.xlsx]PivotTable_Chart!PivotTable8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Pay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PivotTable_Chart!$B$3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PivotTable_Chart!$A$4:$A$6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PivotTable_Chart!$B$4:$B$6</c:f>
              <c:numCache>
                <c:formatCode>"$"#,##0_);\("$"#,##0\)</c:formatCode>
                <c:ptCount val="2"/>
                <c:pt idx="0">
                  <c:v>125858</c:v>
                </c:pt>
                <c:pt idx="1">
                  <c:v>130939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3-4A56-A3A2-D99E073A9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44360328"/>
        <c:axId val="1244359544"/>
      </c:barChart>
      <c:catAx>
        <c:axId val="124436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359544"/>
        <c:crosses val="autoZero"/>
        <c:auto val="1"/>
        <c:lblAlgn val="ctr"/>
        <c:lblOffset val="100"/>
        <c:noMultiLvlLbl val="0"/>
      </c:catAx>
      <c:valAx>
        <c:axId val="1244359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_);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3603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171450</xdr:rowOff>
    </xdr:from>
    <xdr:to>
      <xdr:col>12</xdr:col>
      <xdr:colOff>109194</xdr:colOff>
      <xdr:row>32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19150"/>
          <a:ext cx="11301069" cy="5743575"/>
        </a:xfrm>
        <a:prstGeom prst="rect">
          <a:avLst/>
        </a:prstGeom>
      </xdr:spPr>
    </xdr:pic>
    <xdr:clientData/>
  </xdr:twoCellAnchor>
  <xdr:twoCellAnchor>
    <xdr:from>
      <xdr:col>7</xdr:col>
      <xdr:colOff>514350</xdr:colOff>
      <xdr:row>7</xdr:row>
      <xdr:rowOff>0</xdr:rowOff>
    </xdr:from>
    <xdr:to>
      <xdr:col>10</xdr:col>
      <xdr:colOff>590550</xdr:colOff>
      <xdr:row>13</xdr:row>
      <xdr:rowOff>190500</xdr:rowOff>
    </xdr:to>
    <xdr:sp macro="" textlink="">
      <xdr:nvSpPr>
        <xdr:cNvPr id="2" name="Rectangular Callou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67725" y="1485900"/>
          <a:ext cx="2019300" cy="1390650"/>
        </a:xfrm>
        <a:prstGeom prst="wedgeRectCallout">
          <a:avLst>
            <a:gd name="adj1" fmla="val -101022"/>
            <a:gd name="adj2" fmla="val 10522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VLOOKUP</a:t>
          </a:r>
          <a:r>
            <a:rPr lang="en-US" sz="1100" baseline="0"/>
            <a:t> must contain Data_Table in formula name because they were requried to name the table they created on PayDataTable worksheet. Bonus if students use mix reference in formula. ($A5)</a:t>
          </a:r>
          <a:endParaRPr lang="en-US" sz="1100"/>
        </a:p>
      </xdr:txBody>
    </xdr:sp>
    <xdr:clientData/>
  </xdr:twoCellAnchor>
  <xdr:twoCellAnchor>
    <xdr:from>
      <xdr:col>5</xdr:col>
      <xdr:colOff>133350</xdr:colOff>
      <xdr:row>26</xdr:row>
      <xdr:rowOff>123824</xdr:rowOff>
    </xdr:from>
    <xdr:to>
      <xdr:col>7</xdr:col>
      <xdr:colOff>571500</xdr:colOff>
      <xdr:row>30</xdr:row>
      <xdr:rowOff>0</xdr:rowOff>
    </xdr:to>
    <xdr:sp macro="" textlink="">
      <xdr:nvSpPr>
        <xdr:cNvPr id="5" name="Rectangular Callou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791325" y="5448299"/>
          <a:ext cx="1733550" cy="676276"/>
        </a:xfrm>
        <a:prstGeom prst="wedgeRectCallout">
          <a:avLst>
            <a:gd name="adj1" fmla="val -103769"/>
            <a:gd name="adj2" fmla="val 71425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formula needs to read Table - not specifically</a:t>
          </a:r>
          <a:r>
            <a:rPr lang="en-US" sz="1100" baseline="0"/>
            <a:t> table 4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6</xdr:col>
      <xdr:colOff>590549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3234.558420023146" createdVersion="6" refreshedVersion="6" minRefreshableVersion="3" recordCount="10" xr:uid="{00000000-000A-0000-FFFF-FFFF02000000}">
  <cacheSource type="worksheet">
    <worksheetSource name="Table4"/>
  </cacheSource>
  <cacheFields count="5">
    <cacheField name="Employee ID" numFmtId="49">
      <sharedItems containsSemiMixedTypes="0" containsString="0" containsNumber="1" containsInteger="1" minValue="110608" maxValue="820385"/>
    </cacheField>
    <cacheField name="Pay " numFmtId="164">
      <sharedItems containsSemiMixedTypes="0" containsString="0" containsNumber="1" containsInteger="1" minValue="84289" maxValue="190204"/>
    </cacheField>
    <cacheField name="First Name" numFmtId="0">
      <sharedItems/>
    </cacheField>
    <cacheField name="Last Name" numFmtId="0">
      <sharedItems/>
    </cacheField>
    <cacheField name="Gender" numFmtId="0">
      <sharedItems count="2">
        <s v="M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10608"/>
    <n v="84289"/>
    <s v="Jake"/>
    <s v="Dillon"/>
    <x v="0"/>
  </r>
  <r>
    <n v="253072"/>
    <n v="137670"/>
    <s v="Sidney"/>
    <s v="Cline"/>
    <x v="1"/>
  </r>
  <r>
    <n v="352711"/>
    <n v="190204"/>
    <s v="Elizabeth"/>
    <s v="Smith"/>
    <x v="1"/>
  </r>
  <r>
    <n v="391006"/>
    <n v="122604"/>
    <s v="John"/>
    <s v="Peters"/>
    <x v="0"/>
  </r>
  <r>
    <n v="392128"/>
    <n v="111709"/>
    <s v="Bret"/>
    <s v="Fowles"/>
    <x v="0"/>
  </r>
  <r>
    <n v="549457"/>
    <n v="85931"/>
    <s v="Lucy"/>
    <s v="Young"/>
    <x v="1"/>
  </r>
  <r>
    <n v="580622"/>
    <n v="168114"/>
    <s v="Brad"/>
    <s v="Manning"/>
    <x v="0"/>
  </r>
  <r>
    <n v="602693"/>
    <n v="89627"/>
    <s v="Allison"/>
    <s v="Woods"/>
    <x v="1"/>
  </r>
  <r>
    <n v="611810"/>
    <n v="149964"/>
    <s v="Toney"/>
    <s v="Stark"/>
    <x v="0"/>
  </r>
  <r>
    <n v="820385"/>
    <n v="148954"/>
    <s v="Peter"/>
    <s v="Willia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B6" firstHeaderRow="1" firstDataRow="1" firstDataCol="1"/>
  <pivotFields count="5">
    <pivotField numFmtId="49" showAll="0"/>
    <pivotField dataField="1" numFmtId="164"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erage of Pay " fld="1" subtotal="average" baseField="4" baseItem="0" numFmtId="5"/>
  </dataFields>
  <chartFormats count="1"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4:E15" totalsRowCount="1" headerRowDxfId="17" tableBorderDxfId="16">
  <tableColumns count="5">
    <tableColumn id="1" xr3:uid="{00000000-0010-0000-0000-000001000000}" name="Employee ID" totalsRowLabel="Total" dataDxfId="15" totalsRowDxfId="14"/>
    <tableColumn id="2" xr3:uid="{00000000-0010-0000-0000-000002000000}" name="Pay " totalsRowFunction="sum" dataDxfId="13" totalsRowDxfId="12"/>
    <tableColumn id="3" xr3:uid="{00000000-0010-0000-0000-000003000000}" name="First Name" dataDxfId="11" totalsRowDxfId="10"/>
    <tableColumn id="4" xr3:uid="{00000000-0010-0000-0000-000004000000}" name="Last Name" dataDxfId="9" totalsRowDxfId="8"/>
    <tableColumn id="5" xr3:uid="{00000000-0010-0000-0000-000005000000}" name="Gender" dataDxfId="7" totalsRowDxfId="6"/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Data_Table" displayName="Data_Table" ref="A2:D12" totalsRowShown="0" headerRowDxfId="5" dataDxfId="4">
  <autoFilter ref="A2:D12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Employee ID" dataDxfId="3"/>
    <tableColumn id="2" xr3:uid="{00000000-0010-0000-0100-000002000000}" name="Last Name" dataDxfId="2"/>
    <tableColumn id="3" xr3:uid="{00000000-0010-0000-0100-000003000000}" name="First Name" dataDxfId="1"/>
    <tableColumn id="4" xr3:uid="{00000000-0010-0000-0100-000004000000}" name="Gender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zoomScale="110" zoomScaleNormal="100" workbookViewId="0">
      <selection activeCell="G9" sqref="G9"/>
    </sheetView>
  </sheetViews>
  <sheetFormatPr defaultColWidth="9.140625" defaultRowHeight="15.75" x14ac:dyDescent="0.25"/>
  <cols>
    <col min="1" max="1" width="14.85546875" style="2" bestFit="1" customWidth="1"/>
    <col min="2" max="2" width="10" style="2" bestFit="1" customWidth="1"/>
    <col min="3" max="3" width="13" style="2" bestFit="1" customWidth="1"/>
    <col min="4" max="4" width="12.42578125" style="2" bestFit="1" customWidth="1"/>
    <col min="5" max="5" width="9" style="2" bestFit="1" customWidth="1"/>
    <col min="6" max="16384" width="9.140625" style="2"/>
  </cols>
  <sheetData>
    <row r="1" spans="1:5" ht="19.5" x14ac:dyDescent="0.3">
      <c r="A1" s="29" t="s">
        <v>0</v>
      </c>
      <c r="B1" s="29"/>
      <c r="C1" s="29"/>
      <c r="D1" s="29"/>
      <c r="E1" s="29"/>
    </row>
    <row r="2" spans="1:5" x14ac:dyDescent="0.25">
      <c r="A2" s="30" t="s">
        <v>27</v>
      </c>
      <c r="B2" s="30"/>
      <c r="C2" s="30"/>
      <c r="D2" s="30"/>
      <c r="E2" s="30"/>
    </row>
    <row r="3" spans="1:5" x14ac:dyDescent="0.25">
      <c r="E3" s="6">
        <f ca="1">NOW()</f>
        <v>43403.503600115742</v>
      </c>
    </row>
    <row r="4" spans="1:5" ht="18.75" x14ac:dyDescent="0.3">
      <c r="A4" s="26" t="s">
        <v>1</v>
      </c>
      <c r="B4" s="27" t="s">
        <v>28</v>
      </c>
      <c r="C4" s="27" t="s">
        <v>3</v>
      </c>
      <c r="D4" s="27" t="s">
        <v>2</v>
      </c>
      <c r="E4" s="28" t="s">
        <v>24</v>
      </c>
    </row>
    <row r="5" spans="1:5" x14ac:dyDescent="0.25">
      <c r="A5" s="20">
        <v>110608</v>
      </c>
      <c r="B5" s="7">
        <v>84289</v>
      </c>
      <c r="C5" s="22" t="str">
        <f>VLOOKUP($A5,Data_Table[#All],3,0)</f>
        <v>Jake</v>
      </c>
      <c r="D5" s="9" t="str">
        <f>VLOOKUP($A5,Data_Table[#All],2)</f>
        <v>Dillon</v>
      </c>
      <c r="E5" s="24" t="str">
        <f>VLOOKUP($A5,Data_Table[#All],4)</f>
        <v>M</v>
      </c>
    </row>
    <row r="6" spans="1:5" x14ac:dyDescent="0.25">
      <c r="A6" s="20">
        <v>253072</v>
      </c>
      <c r="B6" s="7">
        <v>137670</v>
      </c>
      <c r="C6" s="22" t="str">
        <f>VLOOKUP($A6,Data_Table[#All],3,0)</f>
        <v>Sidney</v>
      </c>
      <c r="D6" s="9" t="str">
        <f>VLOOKUP($A6,Data_Table[#All],2)</f>
        <v>Cline</v>
      </c>
      <c r="E6" s="24" t="str">
        <f>VLOOKUP($A6,Data_Table[#All],4)</f>
        <v>F</v>
      </c>
    </row>
    <row r="7" spans="1:5" x14ac:dyDescent="0.25">
      <c r="A7" s="20">
        <v>352711</v>
      </c>
      <c r="B7" s="7">
        <v>190204</v>
      </c>
      <c r="C7" s="22" t="str">
        <f>VLOOKUP($A7,Data_Table[#All],3,0)</f>
        <v>Elizabeth</v>
      </c>
      <c r="D7" s="9" t="str">
        <f>VLOOKUP($A7,Data_Table[#All],2)</f>
        <v>Smith</v>
      </c>
      <c r="E7" s="24" t="str">
        <f>VLOOKUP($A7,Data_Table[#All],4)</f>
        <v>F</v>
      </c>
    </row>
    <row r="8" spans="1:5" x14ac:dyDescent="0.25">
      <c r="A8" s="20">
        <v>391006</v>
      </c>
      <c r="B8" s="7">
        <v>122604</v>
      </c>
      <c r="C8" s="22" t="str">
        <f>VLOOKUP($A8,Data_Table[#All],3,0)</f>
        <v>John</v>
      </c>
      <c r="D8" s="9" t="str">
        <f>VLOOKUP($A8,Data_Table[#All],2)</f>
        <v>Peters</v>
      </c>
      <c r="E8" s="24" t="str">
        <f>VLOOKUP($A8,Data_Table[#All],4)</f>
        <v>M</v>
      </c>
    </row>
    <row r="9" spans="1:5" x14ac:dyDescent="0.25">
      <c r="A9" s="20">
        <v>392128</v>
      </c>
      <c r="B9" s="7">
        <v>111709</v>
      </c>
      <c r="C9" s="22" t="str">
        <f>VLOOKUP($A9,Data_Table[#All],3,0)</f>
        <v>Bret</v>
      </c>
      <c r="D9" s="9" t="str">
        <f>VLOOKUP($A9,Data_Table[#All],2)</f>
        <v>Fowles</v>
      </c>
      <c r="E9" s="24" t="str">
        <f>VLOOKUP($A9,Data_Table[#All],4)</f>
        <v>M</v>
      </c>
    </row>
    <row r="10" spans="1:5" x14ac:dyDescent="0.25">
      <c r="A10" s="20">
        <v>549457</v>
      </c>
      <c r="B10" s="7">
        <v>85931</v>
      </c>
      <c r="C10" s="22" t="str">
        <f>VLOOKUP($A10,Data_Table[#All],3,0)</f>
        <v>Lucy</v>
      </c>
      <c r="D10" s="9" t="str">
        <f>VLOOKUP($A10,Data_Table[#All],2)</f>
        <v>Young</v>
      </c>
      <c r="E10" s="24" t="str">
        <f>VLOOKUP($A10,Data_Table[#All],4)</f>
        <v>F</v>
      </c>
    </row>
    <row r="11" spans="1:5" x14ac:dyDescent="0.25">
      <c r="A11" s="20">
        <v>580622</v>
      </c>
      <c r="B11" s="7">
        <v>168114</v>
      </c>
      <c r="C11" s="22" t="str">
        <f>VLOOKUP($A11,Data_Table[#All],3,0)</f>
        <v>Brad</v>
      </c>
      <c r="D11" s="9" t="str">
        <f>VLOOKUP($A11,Data_Table[#All],2)</f>
        <v>Manning</v>
      </c>
      <c r="E11" s="24" t="str">
        <f>VLOOKUP($A11,Data_Table[#All],4)</f>
        <v>M</v>
      </c>
    </row>
    <row r="12" spans="1:5" x14ac:dyDescent="0.25">
      <c r="A12" s="20">
        <v>602693</v>
      </c>
      <c r="B12" s="7">
        <v>89627</v>
      </c>
      <c r="C12" s="22" t="str">
        <f>VLOOKUP($A12,Data_Table[#All],3,0)</f>
        <v>Allison</v>
      </c>
      <c r="D12" s="9" t="str">
        <f>VLOOKUP($A12,Data_Table[#All],2)</f>
        <v>Woods</v>
      </c>
      <c r="E12" s="24" t="str">
        <f>VLOOKUP($A12,Data_Table[#All],4)</f>
        <v>F</v>
      </c>
    </row>
    <row r="13" spans="1:5" x14ac:dyDescent="0.25">
      <c r="A13" s="20">
        <v>611810</v>
      </c>
      <c r="B13" s="7">
        <v>149964</v>
      </c>
      <c r="C13" s="22" t="str">
        <f>VLOOKUP($A13,Data_Table[#All],3,0)</f>
        <v>Toney</v>
      </c>
      <c r="D13" s="9" t="str">
        <f>VLOOKUP($A13,Data_Table[#All],2)</f>
        <v>Stark</v>
      </c>
      <c r="E13" s="24" t="str">
        <f>VLOOKUP($A13,Data_Table[#All],4)</f>
        <v>M</v>
      </c>
    </row>
    <row r="14" spans="1:5" x14ac:dyDescent="0.25">
      <c r="A14" s="21">
        <v>820385</v>
      </c>
      <c r="B14" s="18">
        <v>148954</v>
      </c>
      <c r="C14" s="23" t="str">
        <f>VLOOKUP($A14,Data_Table[#All],3,0)</f>
        <v>Peter</v>
      </c>
      <c r="D14" s="19" t="str">
        <f>VLOOKUP($A14,Data_Table[#All],2)</f>
        <v>William</v>
      </c>
      <c r="E14" s="25" t="str">
        <f>VLOOKUP($A14,Data_Table[#All],4)</f>
        <v>M</v>
      </c>
    </row>
    <row r="18" spans="1:1" ht="18.75" x14ac:dyDescent="0.3">
      <c r="A18" s="5" t="s">
        <v>29</v>
      </c>
    </row>
    <row r="19" spans="1:1" x14ac:dyDescent="0.25">
      <c r="A19" s="2" t="s">
        <v>30</v>
      </c>
    </row>
    <row r="20" spans="1:1" x14ac:dyDescent="0.25">
      <c r="A20" s="2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landscape" r:id="rId1"/>
  <headerFooter>
    <oddHeader>&amp;C&amp;A</oddHeader>
    <oddFooter>&amp;RContestant Number
Printout 1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9E5670DE-AD20-4672-99DF-70197A3ECD97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80000</xm:f>
              </x14:cfvo>
            </x14:iconSet>
          </x14:cfRule>
          <xm:sqref>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1"/>
  <sheetViews>
    <sheetView zoomScaleNormal="100" workbookViewId="0">
      <selection activeCell="C22" sqref="C22"/>
    </sheetView>
  </sheetViews>
  <sheetFormatPr defaultColWidth="9.140625" defaultRowHeight="15.75" x14ac:dyDescent="0.25"/>
  <cols>
    <col min="1" max="1" width="18.28515625" style="2" customWidth="1"/>
    <col min="2" max="2" width="17.140625" style="2" customWidth="1"/>
    <col min="3" max="3" width="20" style="2" bestFit="1" customWidth="1"/>
    <col min="4" max="5" width="19.140625" style="2" bestFit="1" customWidth="1"/>
    <col min="6" max="16384" width="9.140625" style="2"/>
  </cols>
  <sheetData>
    <row r="1" spans="1:5" ht="19.5" x14ac:dyDescent="0.3">
      <c r="A1" s="29" t="s">
        <v>0</v>
      </c>
      <c r="B1" s="29"/>
      <c r="C1" s="29"/>
      <c r="D1" s="29"/>
      <c r="E1" s="29"/>
    </row>
    <row r="2" spans="1:5" x14ac:dyDescent="0.25">
      <c r="A2" s="30" t="s">
        <v>27</v>
      </c>
      <c r="B2" s="30"/>
      <c r="C2" s="30"/>
      <c r="D2" s="30"/>
      <c r="E2" s="30"/>
    </row>
    <row r="3" spans="1:5" x14ac:dyDescent="0.25">
      <c r="E3" s="6">
        <f ca="1">NOW()</f>
        <v>43403.503600115742</v>
      </c>
    </row>
    <row r="4" spans="1:5" ht="18.75" x14ac:dyDescent="0.3">
      <c r="A4" s="10" t="s">
        <v>1</v>
      </c>
      <c r="B4" s="10" t="s">
        <v>28</v>
      </c>
      <c r="C4" s="10" t="s">
        <v>3</v>
      </c>
      <c r="D4" s="10" t="s">
        <v>2</v>
      </c>
      <c r="E4" s="10" t="s">
        <v>24</v>
      </c>
    </row>
    <row r="5" spans="1:5" x14ac:dyDescent="0.25">
      <c r="A5" s="16">
        <v>110608</v>
      </c>
      <c r="B5" s="7">
        <v>84289</v>
      </c>
      <c r="C5" s="8" t="str">
        <f>VLOOKUP($A5,Data_Table[#All],3,0)</f>
        <v>Jake</v>
      </c>
      <c r="D5" s="9" t="str">
        <f>VLOOKUP($A5,Data_Table[#All],2)</f>
        <v>Dillon</v>
      </c>
      <c r="E5" s="8" t="str">
        <f>VLOOKUP($A5,Data_Table[#All],4)</f>
        <v>M</v>
      </c>
    </row>
    <row r="6" spans="1:5" x14ac:dyDescent="0.25">
      <c r="A6" s="16">
        <v>253072</v>
      </c>
      <c r="B6" s="7">
        <v>137670</v>
      </c>
      <c r="C6" s="8" t="str">
        <f>VLOOKUP($A6,Data_Table[#All],3,0)</f>
        <v>Sidney</v>
      </c>
      <c r="D6" s="9" t="str">
        <f>VLOOKUP($A6,Data_Table[#All],2)</f>
        <v>Cline</v>
      </c>
      <c r="E6" s="8" t="str">
        <f>VLOOKUP($A6,Data_Table[#All],4)</f>
        <v>F</v>
      </c>
    </row>
    <row r="7" spans="1:5" x14ac:dyDescent="0.25">
      <c r="A7" s="16">
        <v>352711</v>
      </c>
      <c r="B7" s="7">
        <v>190204</v>
      </c>
      <c r="C7" s="8" t="str">
        <f>VLOOKUP($A7,Data_Table[#All],3,0)</f>
        <v>Elizabeth</v>
      </c>
      <c r="D7" s="9" t="str">
        <f>VLOOKUP($A7,Data_Table[#All],2)</f>
        <v>Smith</v>
      </c>
      <c r="E7" s="8" t="str">
        <f>VLOOKUP($A7,Data_Table[#All],4)</f>
        <v>F</v>
      </c>
    </row>
    <row r="8" spans="1:5" x14ac:dyDescent="0.25">
      <c r="A8" s="16">
        <v>391006</v>
      </c>
      <c r="B8" s="7">
        <v>122604</v>
      </c>
      <c r="C8" s="8" t="str">
        <f>VLOOKUP($A8,Data_Table[#All],3,0)</f>
        <v>John</v>
      </c>
      <c r="D8" s="9" t="str">
        <f>VLOOKUP($A8,Data_Table[#All],2)</f>
        <v>Peters</v>
      </c>
      <c r="E8" s="8" t="str">
        <f>VLOOKUP($A8,Data_Table[#All],4)</f>
        <v>M</v>
      </c>
    </row>
    <row r="9" spans="1:5" x14ac:dyDescent="0.25">
      <c r="A9" s="16">
        <v>392128</v>
      </c>
      <c r="B9" s="7">
        <v>111709</v>
      </c>
      <c r="C9" s="8" t="str">
        <f>VLOOKUP($A9,Data_Table[#All],3,0)</f>
        <v>Bret</v>
      </c>
      <c r="D9" s="9" t="str">
        <f>VLOOKUP($A9,Data_Table[#All],2)</f>
        <v>Fowles</v>
      </c>
      <c r="E9" s="8" t="str">
        <f>VLOOKUP($A9,Data_Table[#All],4)</f>
        <v>M</v>
      </c>
    </row>
    <row r="10" spans="1:5" x14ac:dyDescent="0.25">
      <c r="A10" s="16">
        <v>549457</v>
      </c>
      <c r="B10" s="7">
        <v>85931</v>
      </c>
      <c r="C10" s="8" t="str">
        <f>VLOOKUP($A10,Data_Table[#All],3,0)</f>
        <v>Lucy</v>
      </c>
      <c r="D10" s="9" t="str">
        <f>VLOOKUP($A10,Data_Table[#All],2)</f>
        <v>Young</v>
      </c>
      <c r="E10" s="8" t="str">
        <f>VLOOKUP($A10,Data_Table[#All],4)</f>
        <v>F</v>
      </c>
    </row>
    <row r="11" spans="1:5" x14ac:dyDescent="0.25">
      <c r="A11" s="16">
        <v>580622</v>
      </c>
      <c r="B11" s="7">
        <v>168114</v>
      </c>
      <c r="C11" s="8" t="str">
        <f>VLOOKUP($A11,Data_Table[#All],3,0)</f>
        <v>Brad</v>
      </c>
      <c r="D11" s="9" t="str">
        <f>VLOOKUP($A11,Data_Table[#All],2)</f>
        <v>Manning</v>
      </c>
      <c r="E11" s="8" t="str">
        <f>VLOOKUP($A11,Data_Table[#All],4)</f>
        <v>M</v>
      </c>
    </row>
    <row r="12" spans="1:5" x14ac:dyDescent="0.25">
      <c r="A12" s="16">
        <v>602693</v>
      </c>
      <c r="B12" s="7">
        <v>89627</v>
      </c>
      <c r="C12" s="8" t="str">
        <f>VLOOKUP($A12,Data_Table[#All],3,0)</f>
        <v>Allison</v>
      </c>
      <c r="D12" s="9" t="str">
        <f>VLOOKUP($A12,Data_Table[#All],2)</f>
        <v>Woods</v>
      </c>
      <c r="E12" s="8" t="str">
        <f>VLOOKUP($A12,Data_Table[#All],4)</f>
        <v>F</v>
      </c>
    </row>
    <row r="13" spans="1:5" x14ac:dyDescent="0.25">
      <c r="A13" s="16">
        <v>611810</v>
      </c>
      <c r="B13" s="7">
        <v>149964</v>
      </c>
      <c r="C13" s="8" t="str">
        <f>VLOOKUP($A13,Data_Table[#All],3,0)</f>
        <v>Toney</v>
      </c>
      <c r="D13" s="9" t="str">
        <f>VLOOKUP($A13,Data_Table[#All],2)</f>
        <v>Stark</v>
      </c>
      <c r="E13" s="8" t="str">
        <f>VLOOKUP($A13,Data_Table[#All],4)</f>
        <v>M</v>
      </c>
    </row>
    <row r="14" spans="1:5" x14ac:dyDescent="0.25">
      <c r="A14" s="16">
        <v>820385</v>
      </c>
      <c r="B14" s="7">
        <v>148954</v>
      </c>
      <c r="C14" s="8" t="str">
        <f>VLOOKUP($A14,Data_Table[#All],3,0)</f>
        <v>Peter</v>
      </c>
      <c r="D14" s="9" t="str">
        <f>VLOOKUP($A14,Data_Table[#All],2)</f>
        <v>William</v>
      </c>
      <c r="E14" s="8" t="str">
        <f>VLOOKUP($A14,Data_Table[#All],4)</f>
        <v>M</v>
      </c>
    </row>
    <row r="15" spans="1:5" x14ac:dyDescent="0.25">
      <c r="A15" s="11" t="s">
        <v>32</v>
      </c>
      <c r="B15" s="14">
        <f>SUBTOTAL(109,Table4[[Pay ]])</f>
        <v>1289066</v>
      </c>
      <c r="C15" s="13"/>
      <c r="D15" s="12"/>
      <c r="E15" s="13"/>
    </row>
    <row r="19" spans="1:2" ht="18.75" x14ac:dyDescent="0.3">
      <c r="A19" s="5" t="s">
        <v>29</v>
      </c>
    </row>
    <row r="20" spans="1:2" x14ac:dyDescent="0.25">
      <c r="A20" s="2" t="s">
        <v>30</v>
      </c>
      <c r="B20" s="2">
        <f>COUNTIF(Table4[Gender],"F")</f>
        <v>4</v>
      </c>
    </row>
    <row r="21" spans="1:2" x14ac:dyDescent="0.25">
      <c r="A21" s="2" t="s">
        <v>31</v>
      </c>
      <c r="B21" s="2">
        <f>COUNTIF(Table4[Gender],"M")</f>
        <v>6</v>
      </c>
    </row>
  </sheetData>
  <mergeCells count="2">
    <mergeCell ref="A1:E1"/>
    <mergeCell ref="A2:E2"/>
  </mergeCells>
  <pageMargins left="0.7" right="0.7" top="0.75" bottom="0.75" header="0.3" footer="0.3"/>
  <pageSetup orientation="landscape" r:id="rId1"/>
  <headerFooter>
    <oddHeader>&amp;C&amp;A</oddHeader>
    <oddFooter>&amp;RContestant Number
Printout 1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66C1F096-D08B-4CA4-AD18-5E525B402A8B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80000</xm:f>
              </x14:cfvo>
            </x14:iconSet>
          </x14:cfRule>
          <xm:sqref>E21</xm:sqref>
        </x14:conditionalFormatting>
        <x14:conditionalFormatting xmlns:xm="http://schemas.microsoft.com/office/excel/2006/main">
          <x14:cfRule type="iconSet" priority="1" id="{E88A3B9F-A68C-476E-B63E-07CAE96612C7}">
            <x14:iconSet iconSet="3Stars">
              <x14:cfvo type="percent">
                <xm:f>0</xm:f>
              </x14:cfvo>
              <x14:cfvo type="num">
                <xm:f>100000</xm:f>
              </x14:cfvo>
              <x14:cfvo type="num">
                <xm:f>125000</xm:f>
              </x14:cfvo>
            </x14:iconSet>
          </x14:cfRule>
          <x14:cfRule type="iconSet" priority="2" id="{16F79245-1319-46F2-ACEE-D6D5A3FE5AE3}">
            <x14:iconSet iconSet="3Stars">
              <x14:cfvo type="percent">
                <xm:f>0</xm:f>
              </x14:cfvo>
              <x14:cfvo type="num">
                <xm:f>100000</xm:f>
              </x14:cfvo>
              <x14:cfvo type="num">
                <xm:f>125000</xm:f>
              </x14:cfvo>
            </x14:iconSet>
          </x14:cfRule>
          <xm:sqref>B5:B14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19"/>
  <sheetViews>
    <sheetView view="pageLayout" topLeftCell="A7" zoomScaleNormal="100" workbookViewId="0">
      <selection activeCell="A4" sqref="A1:XFD1048576"/>
    </sheetView>
  </sheetViews>
  <sheetFormatPr defaultColWidth="9.140625" defaultRowHeight="15.75" x14ac:dyDescent="0.25"/>
  <cols>
    <col min="1" max="1" width="18.28515625" style="2" customWidth="1"/>
    <col min="2" max="2" width="17.140625" style="2" customWidth="1"/>
    <col min="3" max="3" width="20" style="2" bestFit="1" customWidth="1"/>
    <col min="4" max="5" width="19.140625" style="2" bestFit="1" customWidth="1"/>
    <col min="6" max="16384" width="9.140625" style="2"/>
  </cols>
  <sheetData>
    <row r="1" spans="1:5" ht="19.5" x14ac:dyDescent="0.3">
      <c r="A1" s="29"/>
      <c r="B1" s="29"/>
      <c r="C1" s="29"/>
      <c r="D1" s="29"/>
      <c r="E1" s="29"/>
    </row>
    <row r="2" spans="1:5" x14ac:dyDescent="0.25">
      <c r="A2" s="30"/>
      <c r="B2" s="30"/>
      <c r="C2" s="30"/>
      <c r="D2" s="30"/>
      <c r="E2" s="30"/>
    </row>
    <row r="3" spans="1:5" x14ac:dyDescent="0.25">
      <c r="E3" s="6"/>
    </row>
    <row r="4" spans="1:5" ht="18.75" x14ac:dyDescent="0.3">
      <c r="A4" s="10"/>
      <c r="B4" s="10"/>
      <c r="C4" s="10"/>
      <c r="D4" s="10"/>
      <c r="E4" s="10"/>
    </row>
    <row r="5" spans="1:5" x14ac:dyDescent="0.25">
      <c r="A5" s="16"/>
      <c r="B5" s="7"/>
      <c r="C5" s="8"/>
      <c r="D5" s="9"/>
      <c r="E5" s="8"/>
    </row>
    <row r="6" spans="1:5" x14ac:dyDescent="0.25">
      <c r="A6" s="16"/>
      <c r="B6" s="7"/>
      <c r="C6" s="8"/>
      <c r="D6" s="9"/>
      <c r="E6" s="8"/>
    </row>
    <row r="7" spans="1:5" x14ac:dyDescent="0.25">
      <c r="A7" s="16"/>
      <c r="B7" s="7"/>
      <c r="C7" s="8"/>
      <c r="D7" s="9"/>
      <c r="E7" s="8"/>
    </row>
    <row r="8" spans="1:5" x14ac:dyDescent="0.25">
      <c r="A8" s="16"/>
      <c r="B8" s="7"/>
      <c r="C8" s="8"/>
      <c r="D8" s="9"/>
      <c r="E8" s="8"/>
    </row>
    <row r="9" spans="1:5" x14ac:dyDescent="0.25">
      <c r="A9" s="16"/>
      <c r="B9" s="7"/>
      <c r="C9" s="8"/>
      <c r="D9" s="9"/>
      <c r="E9" s="8"/>
    </row>
    <row r="10" spans="1:5" x14ac:dyDescent="0.25">
      <c r="A10" s="16"/>
      <c r="B10" s="7"/>
      <c r="C10" s="8"/>
      <c r="D10" s="9"/>
      <c r="E10" s="8"/>
    </row>
    <row r="11" spans="1:5" x14ac:dyDescent="0.25">
      <c r="A11" s="16"/>
      <c r="B11" s="7"/>
      <c r="C11" s="8"/>
      <c r="D11" s="9"/>
      <c r="E11" s="8"/>
    </row>
    <row r="12" spans="1:5" x14ac:dyDescent="0.25">
      <c r="A12" s="16"/>
      <c r="B12" s="7"/>
      <c r="C12" s="8"/>
      <c r="D12" s="9"/>
      <c r="E12" s="8"/>
    </row>
    <row r="13" spans="1:5" x14ac:dyDescent="0.25">
      <c r="A13" s="16"/>
      <c r="B13" s="7"/>
      <c r="C13" s="8"/>
      <c r="D13" s="9"/>
      <c r="E13" s="8"/>
    </row>
    <row r="14" spans="1:5" x14ac:dyDescent="0.25">
      <c r="A14" s="16"/>
      <c r="B14" s="7"/>
      <c r="C14" s="8"/>
      <c r="D14" s="9"/>
      <c r="E14" s="8"/>
    </row>
    <row r="15" spans="1:5" x14ac:dyDescent="0.25">
      <c r="A15" s="11"/>
      <c r="B15" s="14"/>
      <c r="C15" s="13"/>
      <c r="D15" s="12"/>
      <c r="E15" s="13"/>
    </row>
    <row r="19" spans="1:1" ht="18.75" x14ac:dyDescent="0.3">
      <c r="A19" s="5"/>
    </row>
  </sheetData>
  <mergeCells count="2">
    <mergeCell ref="A1:E1"/>
    <mergeCell ref="A2:E2"/>
  </mergeCells>
  <pageMargins left="0.7" right="0.7" top="0.75" bottom="0.75" header="0.3" footer="0.3"/>
  <pageSetup scale="73" orientation="landscape" r:id="rId1"/>
  <headerFooter>
    <oddHeader>&amp;C&amp;A</oddHeader>
    <oddFooter>&amp;RContestant Number
Printout 2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45C3AEE5-8E9F-4BCC-9506-611FCEE1D288}">
            <x14:iconSet iconSet="3Stars">
              <x14:cfvo type="percent">
                <xm:f>0</xm:f>
              </x14:cfvo>
              <x14:cfvo type="num">
                <xm:f>0</xm:f>
              </x14:cfvo>
              <x14:cfvo type="num">
                <xm:f>80000</xm:f>
              </x14:cfvo>
            </x14:iconSet>
          </x14:cfRule>
          <xm:sqref>E21</xm:sqref>
        </x14:conditionalFormatting>
        <x14:conditionalFormatting xmlns:xm="http://schemas.microsoft.com/office/excel/2006/main">
          <x14:cfRule type="iconSet" priority="1" id="{9D0483B5-0011-4EEE-B469-88FE659B60E2}">
            <x14:iconSet iconSet="3Stars">
              <x14:cfvo type="percent">
                <xm:f>0</xm:f>
              </x14:cfvo>
              <x14:cfvo type="num">
                <xm:f>100000</xm:f>
              </x14:cfvo>
              <x14:cfvo type="num">
                <xm:f>125000</xm:f>
              </x14:cfvo>
            </x14:iconSet>
          </x14:cfRule>
          <x14:cfRule type="iconSet" priority="2" id="{6091116B-30E7-4039-8510-87BBCDC4B85E}">
            <x14:iconSet iconSet="3Stars">
              <x14:cfvo type="percent">
                <xm:f>0</xm:f>
              </x14:cfvo>
              <x14:cfvo type="num">
                <xm:f>100000</xm:f>
              </x14:cfvo>
              <x14:cfvo type="num">
                <xm:f>125000</xm:f>
              </x14:cfvo>
            </x14:iconSet>
          </x14:cfRule>
          <xm:sqref>B5:B14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2"/>
  <sheetViews>
    <sheetView view="pageLayout" zoomScaleNormal="100" workbookViewId="0">
      <selection activeCell="G4" sqref="G4"/>
    </sheetView>
  </sheetViews>
  <sheetFormatPr defaultColWidth="9.140625" defaultRowHeight="15.75" x14ac:dyDescent="0.25"/>
  <cols>
    <col min="1" max="1" width="16.5703125" style="2" bestFit="1" customWidth="1"/>
    <col min="2" max="2" width="14.140625" style="2" bestFit="1" customWidth="1"/>
    <col min="3" max="3" width="14.5703125" style="2" bestFit="1" customWidth="1"/>
    <col min="4" max="4" width="10.28515625" style="2" customWidth="1"/>
    <col min="5" max="16384" width="9.140625" style="2"/>
  </cols>
  <sheetData>
    <row r="2" spans="1:4" s="3" customFormat="1" x14ac:dyDescent="0.25">
      <c r="A2" s="2" t="s">
        <v>1</v>
      </c>
      <c r="B2" s="2" t="s">
        <v>2</v>
      </c>
      <c r="C2" s="2" t="s">
        <v>3</v>
      </c>
      <c r="D2" s="2" t="s">
        <v>24</v>
      </c>
    </row>
    <row r="3" spans="1:4" x14ac:dyDescent="0.25">
      <c r="A3" s="4">
        <v>110608</v>
      </c>
      <c r="B3" s="2" t="s">
        <v>4</v>
      </c>
      <c r="C3" s="2" t="s">
        <v>5</v>
      </c>
      <c r="D3" s="2" t="s">
        <v>25</v>
      </c>
    </row>
    <row r="4" spans="1:4" x14ac:dyDescent="0.25">
      <c r="A4" s="4">
        <v>253072</v>
      </c>
      <c r="B4" s="2" t="s">
        <v>6</v>
      </c>
      <c r="C4" s="2" t="s">
        <v>7</v>
      </c>
      <c r="D4" s="2" t="s">
        <v>26</v>
      </c>
    </row>
    <row r="5" spans="1:4" x14ac:dyDescent="0.25">
      <c r="A5" s="4">
        <v>352711</v>
      </c>
      <c r="B5" s="2" t="s">
        <v>8</v>
      </c>
      <c r="C5" s="2" t="s">
        <v>9</v>
      </c>
      <c r="D5" s="2" t="s">
        <v>26</v>
      </c>
    </row>
    <row r="6" spans="1:4" x14ac:dyDescent="0.25">
      <c r="A6" s="4">
        <v>391006</v>
      </c>
      <c r="B6" s="2" t="s">
        <v>10</v>
      </c>
      <c r="C6" s="2" t="s">
        <v>11</v>
      </c>
      <c r="D6" s="2" t="s">
        <v>25</v>
      </c>
    </row>
    <row r="7" spans="1:4" x14ac:dyDescent="0.25">
      <c r="A7" s="4">
        <v>392128</v>
      </c>
      <c r="B7" s="2" t="s">
        <v>12</v>
      </c>
      <c r="C7" s="2" t="s">
        <v>13</v>
      </c>
      <c r="D7" s="2" t="s">
        <v>25</v>
      </c>
    </row>
    <row r="8" spans="1:4" x14ac:dyDescent="0.25">
      <c r="A8" s="4">
        <v>549457</v>
      </c>
      <c r="B8" s="2" t="s">
        <v>14</v>
      </c>
      <c r="C8" s="2" t="s">
        <v>15</v>
      </c>
      <c r="D8" s="2" t="s">
        <v>26</v>
      </c>
    </row>
    <row r="9" spans="1:4" x14ac:dyDescent="0.25">
      <c r="A9" s="4">
        <v>580622</v>
      </c>
      <c r="B9" s="2" t="s">
        <v>16</v>
      </c>
      <c r="C9" s="2" t="s">
        <v>21</v>
      </c>
      <c r="D9" s="2" t="s">
        <v>25</v>
      </c>
    </row>
    <row r="10" spans="1:4" x14ac:dyDescent="0.25">
      <c r="A10" s="4">
        <v>602693</v>
      </c>
      <c r="B10" s="2" t="s">
        <v>17</v>
      </c>
      <c r="C10" s="2" t="s">
        <v>18</v>
      </c>
      <c r="D10" s="2" t="s">
        <v>26</v>
      </c>
    </row>
    <row r="11" spans="1:4" x14ac:dyDescent="0.25">
      <c r="A11" s="4">
        <v>611810</v>
      </c>
      <c r="B11" s="2" t="s">
        <v>19</v>
      </c>
      <c r="C11" s="2" t="s">
        <v>20</v>
      </c>
      <c r="D11" s="2" t="s">
        <v>25</v>
      </c>
    </row>
    <row r="12" spans="1:4" x14ac:dyDescent="0.25">
      <c r="A12" s="4">
        <v>820385</v>
      </c>
      <c r="B12" s="2" t="s">
        <v>22</v>
      </c>
      <c r="C12" s="2" t="s">
        <v>23</v>
      </c>
      <c r="D12" s="2" t="s">
        <v>25</v>
      </c>
    </row>
  </sheetData>
  <pageMargins left="0.7" right="0.7" top="0.75" bottom="0.75" header="0.3" footer="0.3"/>
  <pageSetup orientation="portrait" r:id="rId1"/>
  <headerFooter>
    <oddHeader>&amp;C&amp;A</oddHeader>
    <oddFooter xml:space="preserve">&amp;RContestant Number
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6"/>
  <sheetViews>
    <sheetView view="pageLayout" topLeftCell="A2" zoomScaleNormal="100" workbookViewId="0">
      <selection activeCell="A28" sqref="A28"/>
    </sheetView>
  </sheetViews>
  <sheetFormatPr defaultRowHeight="15" x14ac:dyDescent="0.25"/>
  <cols>
    <col min="1" max="1" width="13.140625" bestFit="1" customWidth="1"/>
    <col min="2" max="2" width="14.7109375" bestFit="1" customWidth="1"/>
  </cols>
  <sheetData>
    <row r="3" spans="1:2" x14ac:dyDescent="0.25">
      <c r="A3" s="15" t="s">
        <v>33</v>
      </c>
      <c r="B3" t="s">
        <v>35</v>
      </c>
    </row>
    <row r="4" spans="1:2" x14ac:dyDescent="0.25">
      <c r="A4" s="1" t="s">
        <v>26</v>
      </c>
      <c r="B4" s="17">
        <v>125858</v>
      </c>
    </row>
    <row r="5" spans="1:2" x14ac:dyDescent="0.25">
      <c r="A5" s="1" t="s">
        <v>25</v>
      </c>
      <c r="B5" s="17">
        <v>130939</v>
      </c>
    </row>
    <row r="6" spans="1:2" x14ac:dyDescent="0.25">
      <c r="A6" s="1" t="s">
        <v>34</v>
      </c>
      <c r="B6" s="17">
        <v>128906.6</v>
      </c>
    </row>
  </sheetData>
  <printOptions headings="1"/>
  <pageMargins left="0.7" right="0.7" top="0.75" bottom="0.75" header="0.3" footer="0.3"/>
  <pageSetup orientation="portrait" r:id="rId2"/>
  <headerFooter>
    <oddHeader>&amp;C&amp;A</oddHeader>
    <oddFooter>&amp;RContestant Number
Printout 3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PayReport</vt:lpstr>
      <vt:lpstr>PayReport Formatted</vt:lpstr>
      <vt:lpstr>Formulas</vt:lpstr>
      <vt:lpstr>PayDataTable</vt:lpstr>
      <vt:lpstr>PivotTable_Chart</vt:lpstr>
    </vt:vector>
  </TitlesOfParts>
  <Company>Greene County Career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BODIDDLE</cp:lastModifiedBy>
  <cp:lastPrinted>2018-09-10T04:32:18Z</cp:lastPrinted>
  <dcterms:created xsi:type="dcterms:W3CDTF">2018-05-14T12:41:26Z</dcterms:created>
  <dcterms:modified xsi:type="dcterms:W3CDTF">2018-10-30T17:05:14Z</dcterms:modified>
</cp:coreProperties>
</file>