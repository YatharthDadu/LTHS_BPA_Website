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/>
  <mc:AlternateContent xmlns:mc="http://schemas.openxmlformats.org/markup-compatibility/2006">
    <mc:Choice Requires="x15">
      <x15ac:absPath xmlns:x15ac="http://schemas.microsoft.com/office/spreadsheetml/2010/11/ac" url="C:\Users\Dustin\Desktop\2019 State Exams\Final\BA\"/>
    </mc:Choice>
  </mc:AlternateContent>
  <xr:revisionPtr revIDLastSave="0" documentId="10_ncr:100000_{426115F3-CAB9-4B7E-910E-A3796A3BF2FE}" xr6:coauthVersionLast="31" xr6:coauthVersionMax="31" xr10:uidLastSave="{00000000-0000-0000-0000-000000000000}"/>
  <bookViews>
    <workbookView xWindow="0" yWindow="0" windowWidth="28800" windowHeight="12225" xr2:uid="{00000000-000D-0000-FFFF-FFFF00000000}"/>
  </bookViews>
  <sheets>
    <sheet name="Job 1" sheetId="1" r:id="rId1"/>
    <sheet name="Job 1 Formulas" sheetId="2" r:id="rId2"/>
    <sheet name="Job 2" sheetId="3" r:id="rId3"/>
    <sheet name="Summer Expense Chart" sheetId="4" r:id="rId4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" l="1"/>
  <c r="D11" i="1"/>
  <c r="B11" i="1"/>
  <c r="C11" i="2"/>
  <c r="D11" i="2"/>
  <c r="B11" i="2"/>
  <c r="C8" i="3"/>
  <c r="D8" i="3"/>
  <c r="B8" i="3"/>
  <c r="F16" i="3" l="1"/>
  <c r="D9" i="3"/>
  <c r="D19" i="3" s="1"/>
  <c r="D20" i="3" s="1"/>
  <c r="C9" i="3"/>
  <c r="C19" i="3" s="1"/>
  <c r="C20" i="3" s="1"/>
  <c r="B9" i="3"/>
  <c r="F9" i="3" s="1"/>
  <c r="F15" i="3"/>
  <c r="F14" i="3"/>
  <c r="F17" i="3"/>
  <c r="F13" i="3"/>
  <c r="F8" i="3"/>
  <c r="F11" i="3"/>
  <c r="F10" i="3"/>
  <c r="F12" i="3"/>
  <c r="E5" i="3"/>
  <c r="F17" i="2"/>
  <c r="D16" i="2"/>
  <c r="D19" i="2" s="1"/>
  <c r="D20" i="2" s="1"/>
  <c r="C16" i="2"/>
  <c r="C19" i="2" s="1"/>
  <c r="C20" i="2" s="1"/>
  <c r="B16" i="2"/>
  <c r="F16" i="2" s="1"/>
  <c r="F15" i="2"/>
  <c r="F14" i="2"/>
  <c r="F13" i="2"/>
  <c r="F12" i="2"/>
  <c r="F11" i="2"/>
  <c r="F10" i="2"/>
  <c r="F9" i="2"/>
  <c r="F8" i="2"/>
  <c r="E5" i="2"/>
  <c r="F9" i="1"/>
  <c r="F10" i="1"/>
  <c r="F11" i="1"/>
  <c r="F12" i="1"/>
  <c r="F13" i="1"/>
  <c r="F14" i="1"/>
  <c r="F15" i="1"/>
  <c r="F17" i="1"/>
  <c r="F8" i="1"/>
  <c r="E5" i="1"/>
  <c r="C19" i="1"/>
  <c r="C20" i="1" s="1"/>
  <c r="C16" i="1"/>
  <c r="D16" i="1"/>
  <c r="D19" i="1" s="1"/>
  <c r="D20" i="1" s="1"/>
  <c r="B16" i="1"/>
  <c r="B19" i="1" s="1"/>
  <c r="B20" i="1" s="1"/>
  <c r="F16" i="1" l="1"/>
  <c r="F19" i="1"/>
  <c r="G13" i="1" s="1"/>
  <c r="G20" i="1"/>
  <c r="G9" i="1"/>
  <c r="G16" i="1"/>
  <c r="G10" i="1"/>
  <c r="G8" i="1"/>
  <c r="G15" i="1"/>
  <c r="G12" i="1"/>
  <c r="F19" i="3"/>
  <c r="G8" i="3" s="1"/>
  <c r="B19" i="3"/>
  <c r="B20" i="3" s="1"/>
  <c r="G20" i="3" s="1"/>
  <c r="F19" i="2"/>
  <c r="G12" i="2" s="1"/>
  <c r="B19" i="2"/>
  <c r="B20" i="2" s="1"/>
  <c r="G20" i="2" s="1"/>
  <c r="G17" i="1" l="1"/>
  <c r="G11" i="1"/>
  <c r="G14" i="1"/>
  <c r="G16" i="3"/>
  <c r="G9" i="3"/>
  <c r="G13" i="3"/>
  <c r="G10" i="3"/>
  <c r="G12" i="3"/>
  <c r="G11" i="3"/>
  <c r="G15" i="3"/>
  <c r="G17" i="3"/>
  <c r="G14" i="3"/>
  <c r="G11" i="2"/>
  <c r="G17" i="2"/>
  <c r="G14" i="2"/>
  <c r="G10" i="2"/>
  <c r="G8" i="2"/>
  <c r="G15" i="2"/>
  <c r="G13" i="2"/>
  <c r="G16" i="2"/>
  <c r="G9" i="2"/>
</calcChain>
</file>

<file path=xl/sharedStrings.xml><?xml version="1.0" encoding="utf-8"?>
<sst xmlns="http://schemas.openxmlformats.org/spreadsheetml/2006/main" count="69" uniqueCount="23">
  <si>
    <t>Total Monthly Expenses</t>
  </si>
  <si>
    <t>Total Revenue</t>
  </si>
  <si>
    <t>Cash Surplus/Deficit Per Month</t>
  </si>
  <si>
    <t>Total Per Each Expense</t>
  </si>
  <si>
    <t>Three Months Summer Savings</t>
  </si>
  <si>
    <t>Percentage of Expenses</t>
  </si>
  <si>
    <t>Summer Budget</t>
  </si>
  <si>
    <t>Revenue</t>
  </si>
  <si>
    <t>Summer Job</t>
  </si>
  <si>
    <t>Expenses</t>
  </si>
  <si>
    <t>College Savings</t>
  </si>
  <si>
    <t>Car Payment</t>
  </si>
  <si>
    <t>Clothing</t>
  </si>
  <si>
    <t>Car Insurance</t>
  </si>
  <si>
    <t>Eating Out</t>
  </si>
  <si>
    <t>Toiletries/Cosmetics</t>
  </si>
  <si>
    <t>Parking Lot Expense</t>
  </si>
  <si>
    <t>June</t>
  </si>
  <si>
    <t>July</t>
  </si>
  <si>
    <t>August</t>
  </si>
  <si>
    <t>Movies</t>
  </si>
  <si>
    <t>Car Maintenance: Oil Change</t>
  </si>
  <si>
    <t>iTunes Downloads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</si>
</sst>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rgb="FF00610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</cellStyleXfs>
  <cellXfs count="25">
    <xf numFmtId="0" fontId="0" fillId="0" borderId="0" xfId="0"/>
    <xf numFmtId="0" fontId="4" fillId="0" borderId="0" xfId="0" applyFont="1"/>
    <xf numFmtId="0" fontId="4" fillId="0" borderId="1" xfId="0" applyFont="1" applyBorder="1"/>
    <xf numFmtId="164" fontId="4" fillId="0" borderId="1" xfId="0" applyNumberFormat="1" applyFont="1" applyBorder="1"/>
    <xf numFmtId="164" fontId="5" fillId="0" borderId="1" xfId="0" applyNumberFormat="1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0" xfId="0" applyFont="1" applyBorder="1"/>
    <xf numFmtId="0" fontId="4" fillId="0" borderId="6" xfId="0" applyFont="1" applyBorder="1"/>
    <xf numFmtId="0" fontId="5" fillId="0" borderId="5" xfId="0" applyFont="1" applyBorder="1" applyAlignment="1">
      <alignment horizontal="center"/>
    </xf>
    <xf numFmtId="164" fontId="4" fillId="0" borderId="0" xfId="0" applyNumberFormat="1" applyFont="1" applyBorder="1"/>
    <xf numFmtId="164" fontId="5" fillId="0" borderId="0" xfId="0" applyNumberFormat="1" applyFont="1" applyBorder="1"/>
    <xf numFmtId="165" fontId="4" fillId="0" borderId="0" xfId="1" applyNumberFormat="1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164" fontId="4" fillId="0" borderId="10" xfId="0" applyNumberFormat="1" applyFont="1" applyBorder="1"/>
    <xf numFmtId="0" fontId="3" fillId="2" borderId="11" xfId="3" applyBorder="1" applyAlignment="1">
      <alignment wrapText="1"/>
    </xf>
    <xf numFmtId="164" fontId="5" fillId="0" borderId="10" xfId="0" applyNumberFormat="1" applyFont="1" applyBorder="1"/>
    <xf numFmtId="0" fontId="2" fillId="0" borderId="2" xfId="2" applyBorder="1" applyAlignment="1">
      <alignment horizontal="center"/>
    </xf>
    <xf numFmtId="0" fontId="2" fillId="0" borderId="3" xfId="2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 wrapText="1"/>
    </xf>
  </cellXfs>
  <cellStyles count="4">
    <cellStyle name="Good" xfId="3" builtinId="26"/>
    <cellStyle name="Normal" xfId="0" builtinId="0"/>
    <cellStyle name="Percent" xfId="1" builtinId="5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/>
              <a:t>Breakdown of Summer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776185434156288E-2"/>
          <c:y val="0.15826251407814479"/>
          <c:w val="0.91384848065073077"/>
          <c:h val="0.69714640145425433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B5B8-479B-ACE2-5AFAA9E2C67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B5B8-479B-ACE2-5AFAA9E2C67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B5B8-479B-ACE2-5AFAA9E2C67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B5B8-479B-ACE2-5AFAA9E2C67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B5B8-479B-ACE2-5AFAA9E2C67C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B5B8-479B-ACE2-5AFAA9E2C67C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B5B8-479B-ACE2-5AFAA9E2C67C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B5B8-479B-ACE2-5AFAA9E2C67C}"/>
              </c:ext>
            </c:extLst>
          </c:dPt>
          <c:dPt>
            <c:idx val="8"/>
            <c:bubble3D val="0"/>
            <c:explosion val="15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B5B8-479B-ACE2-5AFAA9E2C67C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B5B8-479B-ACE2-5AFAA9E2C6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'Job 2'!$A$8:$A$17</c:f>
              <c:strCache>
                <c:ptCount val="10"/>
                <c:pt idx="0">
                  <c:v>Car Insurance</c:v>
                </c:pt>
                <c:pt idx="1">
                  <c:v>Car Maintenance: Oil Change</c:v>
                </c:pt>
                <c:pt idx="2">
                  <c:v>Car Payment</c:v>
                </c:pt>
                <c:pt idx="3">
                  <c:v>Clothing</c:v>
                </c:pt>
                <c:pt idx="4">
                  <c:v>College Savings</c:v>
                </c:pt>
                <c:pt idx="5">
                  <c:v>Eating Out</c:v>
                </c:pt>
                <c:pt idx="6">
                  <c:v>iTunes Downloads</c:v>
                </c:pt>
                <c:pt idx="7">
                  <c:v>Movies</c:v>
                </c:pt>
                <c:pt idx="8">
                  <c:v>Parking Lot Expense</c:v>
                </c:pt>
                <c:pt idx="9">
                  <c:v>Toiletries/Cosmetics</c:v>
                </c:pt>
              </c:strCache>
            </c:strRef>
          </c:cat>
          <c:val>
            <c:numRef>
              <c:f>'Job 2'!$D$8:$D$17</c:f>
              <c:numCache>
                <c:formatCode>"$"#,##0.00</c:formatCode>
                <c:ptCount val="10"/>
                <c:pt idx="0">
                  <c:v>75</c:v>
                </c:pt>
                <c:pt idx="1">
                  <c:v>15</c:v>
                </c:pt>
                <c:pt idx="2">
                  <c:v>200</c:v>
                </c:pt>
                <c:pt idx="3">
                  <c:v>100</c:v>
                </c:pt>
                <c:pt idx="4">
                  <c:v>500</c:v>
                </c:pt>
                <c:pt idx="5">
                  <c:v>15</c:v>
                </c:pt>
                <c:pt idx="6">
                  <c:v>25</c:v>
                </c:pt>
                <c:pt idx="7">
                  <c:v>15</c:v>
                </c:pt>
                <c:pt idx="8">
                  <c:v>10</c:v>
                </c:pt>
                <c:pt idx="9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5B8-479B-ACE2-5AFAA9E2C67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136589960231879"/>
          <c:y val="0.86658878690532848"/>
          <c:w val="0.85845638116528211"/>
          <c:h val="0.117855964956976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0</xdr:rowOff>
    </xdr:from>
    <xdr:to>
      <xdr:col>12</xdr:col>
      <xdr:colOff>633414</xdr:colOff>
      <xdr:row>32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Grayscale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"/>
  <sheetViews>
    <sheetView tabSelected="1" zoomScaleNormal="100" workbookViewId="0">
      <selection activeCell="A14" sqref="A14"/>
    </sheetView>
  </sheetViews>
  <sheetFormatPr defaultColWidth="9" defaultRowHeight="15.75" x14ac:dyDescent="0.25"/>
  <cols>
    <col min="1" max="1" width="27.85546875" style="1" bestFit="1" customWidth="1"/>
    <col min="2" max="4" width="9" style="1"/>
    <col min="5" max="5" width="13" style="1" bestFit="1" customWidth="1"/>
    <col min="6" max="6" width="21" style="1" bestFit="1" customWidth="1"/>
    <col min="7" max="7" width="22" style="1" bestFit="1" customWidth="1"/>
    <col min="8" max="16384" width="9" style="1"/>
  </cols>
  <sheetData>
    <row r="1" spans="1:7" x14ac:dyDescent="0.25">
      <c r="A1" s="1" t="s">
        <v>6</v>
      </c>
    </row>
    <row r="3" spans="1:7" x14ac:dyDescent="0.25">
      <c r="B3" s="1" t="s">
        <v>17</v>
      </c>
      <c r="C3" s="1" t="s">
        <v>18</v>
      </c>
      <c r="D3" s="1" t="s">
        <v>19</v>
      </c>
      <c r="E3" s="1" t="s">
        <v>1</v>
      </c>
      <c r="F3" s="1" t="s">
        <v>3</v>
      </c>
      <c r="G3" s="1" t="s">
        <v>5</v>
      </c>
    </row>
    <row r="4" spans="1:7" x14ac:dyDescent="0.25">
      <c r="A4" s="1" t="s">
        <v>7</v>
      </c>
    </row>
    <row r="5" spans="1:7" x14ac:dyDescent="0.25">
      <c r="A5" s="1" t="s">
        <v>8</v>
      </c>
      <c r="B5" s="1">
        <v>1100</v>
      </c>
      <c r="C5" s="1">
        <v>1200</v>
      </c>
      <c r="D5" s="1">
        <v>1200</v>
      </c>
      <c r="E5" s="1">
        <f>SUM(B5:D5)</f>
        <v>3500</v>
      </c>
    </row>
    <row r="7" spans="1:7" x14ac:dyDescent="0.25">
      <c r="A7" s="1" t="s">
        <v>9</v>
      </c>
    </row>
    <row r="8" spans="1:7" x14ac:dyDescent="0.25">
      <c r="A8" s="1" t="s">
        <v>10</v>
      </c>
      <c r="B8" s="1">
        <v>500</v>
      </c>
      <c r="C8" s="1">
        <v>500</v>
      </c>
      <c r="D8" s="1">
        <v>500</v>
      </c>
      <c r="F8" s="1">
        <f>SUM(B8:D8)</f>
        <v>1500</v>
      </c>
      <c r="G8" s="1">
        <f>F8/$F$19</f>
        <v>0.50251256281407031</v>
      </c>
    </row>
    <row r="9" spans="1:7" x14ac:dyDescent="0.25">
      <c r="A9" s="1" t="s">
        <v>11</v>
      </c>
      <c r="B9" s="1">
        <v>200</v>
      </c>
      <c r="C9" s="1">
        <v>200</v>
      </c>
      <c r="D9" s="1">
        <v>200</v>
      </c>
      <c r="F9" s="1">
        <f t="shared" ref="F9:F17" si="0">SUM(B9:D9)</f>
        <v>600</v>
      </c>
      <c r="G9" s="1">
        <f t="shared" ref="G9:G17" si="1">F9/$F$19</f>
        <v>0.20100502512562815</v>
      </c>
    </row>
    <row r="10" spans="1:7" x14ac:dyDescent="0.25">
      <c r="A10" s="1" t="s">
        <v>12</v>
      </c>
      <c r="B10" s="1">
        <v>100</v>
      </c>
      <c r="C10" s="1">
        <v>100</v>
      </c>
      <c r="D10" s="1">
        <v>100</v>
      </c>
      <c r="F10" s="1">
        <f t="shared" si="0"/>
        <v>300</v>
      </c>
      <c r="G10" s="1">
        <f t="shared" si="1"/>
        <v>0.10050251256281408</v>
      </c>
    </row>
    <row r="11" spans="1:7" x14ac:dyDescent="0.25">
      <c r="A11" s="1" t="s">
        <v>13</v>
      </c>
      <c r="B11" s="1">
        <f>(450*2)/12</f>
        <v>75</v>
      </c>
      <c r="C11" s="1">
        <f t="shared" ref="C11:D11" si="2">(450*2)/12</f>
        <v>75</v>
      </c>
      <c r="D11" s="1">
        <f t="shared" si="2"/>
        <v>75</v>
      </c>
      <c r="F11" s="1">
        <f t="shared" si="0"/>
        <v>225</v>
      </c>
      <c r="G11" s="1">
        <f t="shared" si="1"/>
        <v>7.5376884422110546E-2</v>
      </c>
    </row>
    <row r="12" spans="1:7" x14ac:dyDescent="0.25">
      <c r="A12" s="1" t="s">
        <v>14</v>
      </c>
      <c r="B12" s="1">
        <v>50</v>
      </c>
      <c r="C12" s="1">
        <v>25</v>
      </c>
      <c r="D12" s="1">
        <v>15</v>
      </c>
      <c r="F12" s="1">
        <f t="shared" si="0"/>
        <v>90</v>
      </c>
      <c r="G12" s="1">
        <f t="shared" si="1"/>
        <v>3.015075376884422E-2</v>
      </c>
    </row>
    <row r="13" spans="1:7" x14ac:dyDescent="0.25">
      <c r="A13" s="1" t="s">
        <v>15</v>
      </c>
      <c r="B13" s="1">
        <v>25</v>
      </c>
      <c r="C13" s="1">
        <v>25</v>
      </c>
      <c r="D13" s="1">
        <v>25</v>
      </c>
      <c r="F13" s="1">
        <f t="shared" si="0"/>
        <v>75</v>
      </c>
      <c r="G13" s="1">
        <f t="shared" si="1"/>
        <v>2.5125628140703519E-2</v>
      </c>
    </row>
    <row r="14" spans="1:7" x14ac:dyDescent="0.25">
      <c r="A14" s="1" t="s">
        <v>22</v>
      </c>
      <c r="B14" s="1">
        <v>25</v>
      </c>
      <c r="C14" s="1">
        <v>25</v>
      </c>
      <c r="D14" s="1">
        <v>25</v>
      </c>
      <c r="F14" s="1">
        <f t="shared" si="0"/>
        <v>75</v>
      </c>
      <c r="G14" s="1">
        <f t="shared" si="1"/>
        <v>2.5125628140703519E-2</v>
      </c>
    </row>
    <row r="15" spans="1:7" x14ac:dyDescent="0.25">
      <c r="A15" s="1" t="s">
        <v>20</v>
      </c>
      <c r="B15" s="1">
        <v>15</v>
      </c>
      <c r="C15" s="1">
        <v>15</v>
      </c>
      <c r="D15" s="1">
        <v>15</v>
      </c>
      <c r="F15" s="1">
        <f t="shared" si="0"/>
        <v>45</v>
      </c>
      <c r="G15" s="1">
        <f t="shared" si="1"/>
        <v>1.507537688442211E-2</v>
      </c>
    </row>
    <row r="16" spans="1:7" x14ac:dyDescent="0.25">
      <c r="A16" s="1" t="s">
        <v>21</v>
      </c>
      <c r="B16" s="1">
        <f>45/3</f>
        <v>15</v>
      </c>
      <c r="C16" s="1">
        <f t="shared" ref="C16:D16" si="3">45/3</f>
        <v>15</v>
      </c>
      <c r="D16" s="1">
        <f t="shared" si="3"/>
        <v>15</v>
      </c>
      <c r="F16" s="1">
        <f t="shared" si="0"/>
        <v>45</v>
      </c>
      <c r="G16" s="1">
        <f t="shared" si="1"/>
        <v>1.507537688442211E-2</v>
      </c>
    </row>
    <row r="17" spans="1:8" x14ac:dyDescent="0.25">
      <c r="A17" s="1" t="s">
        <v>16</v>
      </c>
      <c r="B17" s="1">
        <v>10</v>
      </c>
      <c r="C17" s="1">
        <v>10</v>
      </c>
      <c r="D17" s="1">
        <v>10</v>
      </c>
      <c r="F17" s="1">
        <f t="shared" si="0"/>
        <v>30</v>
      </c>
      <c r="G17" s="1">
        <f t="shared" si="1"/>
        <v>1.0050251256281407E-2</v>
      </c>
    </row>
    <row r="19" spans="1:8" x14ac:dyDescent="0.25">
      <c r="A19" s="1" t="s">
        <v>0</v>
      </c>
      <c r="B19" s="1">
        <f>SUM(B8:B17)</f>
        <v>1015</v>
      </c>
      <c r="C19" s="1">
        <f t="shared" ref="C19:D19" si="4">SUM(C8:C17)</f>
        <v>990</v>
      </c>
      <c r="D19" s="1">
        <f t="shared" si="4"/>
        <v>980</v>
      </c>
      <c r="F19" s="1">
        <f>SUM(F8:F17)</f>
        <v>2985</v>
      </c>
    </row>
    <row r="20" spans="1:8" x14ac:dyDescent="0.25">
      <c r="A20" s="1" t="s">
        <v>2</v>
      </c>
      <c r="B20" s="1">
        <f>B5-B19</f>
        <v>85</v>
      </c>
      <c r="C20" s="1">
        <f t="shared" ref="C20:D20" si="5">C5-C19</f>
        <v>210</v>
      </c>
      <c r="D20" s="1">
        <f t="shared" si="5"/>
        <v>220</v>
      </c>
      <c r="G20" s="1">
        <f>SUM(B20:D20)</f>
        <v>515</v>
      </c>
      <c r="H20" s="1" t="s">
        <v>4</v>
      </c>
    </row>
  </sheetData>
  <printOptions horizontalCentered="1" verticalCentered="1"/>
  <pageMargins left="0.7" right="0.7" top="0.75" bottom="0.75" header="0.3" footer="0.3"/>
  <pageSetup scale="89" orientation="landscape" r:id="rId1"/>
  <headerFooter>
    <oddFooter>&amp;RContestant Number
Job 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0"/>
  <sheetViews>
    <sheetView showFormulas="1" topLeftCell="A2" workbookViewId="0">
      <selection activeCell="A14" sqref="A14"/>
    </sheetView>
  </sheetViews>
  <sheetFormatPr defaultColWidth="9" defaultRowHeight="15.75" x14ac:dyDescent="0.25"/>
  <cols>
    <col min="1" max="1" width="27.85546875" style="1" bestFit="1" customWidth="1"/>
    <col min="2" max="4" width="9" style="1"/>
    <col min="5" max="5" width="13" style="1" bestFit="1" customWidth="1"/>
    <col min="6" max="6" width="21" style="1" bestFit="1" customWidth="1"/>
    <col min="7" max="7" width="20.5703125" style="1" bestFit="1" customWidth="1"/>
    <col min="8" max="16384" width="9" style="1"/>
  </cols>
  <sheetData>
    <row r="1" spans="1:7" x14ac:dyDescent="0.25">
      <c r="A1" s="1" t="s">
        <v>6</v>
      </c>
    </row>
    <row r="3" spans="1:7" x14ac:dyDescent="0.25">
      <c r="B3" s="1" t="s">
        <v>17</v>
      </c>
      <c r="C3" s="1" t="s">
        <v>18</v>
      </c>
      <c r="D3" s="1" t="s">
        <v>19</v>
      </c>
      <c r="E3" s="1" t="s">
        <v>1</v>
      </c>
      <c r="F3" s="1" t="s">
        <v>3</v>
      </c>
      <c r="G3" s="1" t="s">
        <v>5</v>
      </c>
    </row>
    <row r="4" spans="1:7" x14ac:dyDescent="0.25">
      <c r="A4" s="1" t="s">
        <v>7</v>
      </c>
    </row>
    <row r="5" spans="1:7" x14ac:dyDescent="0.25">
      <c r="A5" s="1" t="s">
        <v>8</v>
      </c>
      <c r="B5" s="1">
        <v>1100</v>
      </c>
      <c r="C5" s="1">
        <v>1200</v>
      </c>
      <c r="D5" s="1">
        <v>1200</v>
      </c>
      <c r="E5" s="1">
        <f>SUM(B5:D5)</f>
        <v>3500</v>
      </c>
    </row>
    <row r="7" spans="1:7" x14ac:dyDescent="0.25">
      <c r="A7" s="1" t="s">
        <v>9</v>
      </c>
    </row>
    <row r="8" spans="1:7" x14ac:dyDescent="0.25">
      <c r="A8" s="1" t="s">
        <v>10</v>
      </c>
      <c r="B8" s="1">
        <v>500</v>
      </c>
      <c r="C8" s="1">
        <v>500</v>
      </c>
      <c r="D8" s="1">
        <v>500</v>
      </c>
      <c r="F8" s="1">
        <f>SUM(B8:D8)</f>
        <v>1500</v>
      </c>
      <c r="G8" s="1">
        <f>F8/$F$19</f>
        <v>0.50251256281407031</v>
      </c>
    </row>
    <row r="9" spans="1:7" x14ac:dyDescent="0.25">
      <c r="A9" s="1" t="s">
        <v>11</v>
      </c>
      <c r="B9" s="1">
        <v>200</v>
      </c>
      <c r="C9" s="1">
        <v>200</v>
      </c>
      <c r="D9" s="1">
        <v>200</v>
      </c>
      <c r="F9" s="1">
        <f t="shared" ref="F9:F17" si="0">SUM(B9:D9)</f>
        <v>600</v>
      </c>
      <c r="G9" s="1">
        <f t="shared" ref="G9:G17" si="1">F9/$F$19</f>
        <v>0.20100502512562815</v>
      </c>
    </row>
    <row r="10" spans="1:7" x14ac:dyDescent="0.25">
      <c r="A10" s="1" t="s">
        <v>12</v>
      </c>
      <c r="B10" s="1">
        <v>100</v>
      </c>
      <c r="C10" s="1">
        <v>100</v>
      </c>
      <c r="D10" s="1">
        <v>100</v>
      </c>
      <c r="F10" s="1">
        <f t="shared" si="0"/>
        <v>300</v>
      </c>
      <c r="G10" s="1">
        <f t="shared" si="1"/>
        <v>0.10050251256281408</v>
      </c>
    </row>
    <row r="11" spans="1:7" x14ac:dyDescent="0.25">
      <c r="A11" s="1" t="s">
        <v>13</v>
      </c>
      <c r="B11" s="1">
        <f>(450*2)/12</f>
        <v>75</v>
      </c>
      <c r="C11" s="1">
        <f t="shared" ref="C11:D11" si="2">(450*2)/12</f>
        <v>75</v>
      </c>
      <c r="D11" s="1">
        <f t="shared" si="2"/>
        <v>75</v>
      </c>
      <c r="F11" s="1">
        <f t="shared" si="0"/>
        <v>225</v>
      </c>
      <c r="G11" s="1">
        <f t="shared" si="1"/>
        <v>7.5376884422110546E-2</v>
      </c>
    </row>
    <row r="12" spans="1:7" x14ac:dyDescent="0.25">
      <c r="A12" s="1" t="s">
        <v>14</v>
      </c>
      <c r="B12" s="1">
        <v>50</v>
      </c>
      <c r="C12" s="1">
        <v>25</v>
      </c>
      <c r="D12" s="1">
        <v>15</v>
      </c>
      <c r="F12" s="1">
        <f t="shared" si="0"/>
        <v>90</v>
      </c>
      <c r="G12" s="1">
        <f t="shared" si="1"/>
        <v>3.015075376884422E-2</v>
      </c>
    </row>
    <row r="13" spans="1:7" x14ac:dyDescent="0.25">
      <c r="A13" s="1" t="s">
        <v>15</v>
      </c>
      <c r="B13" s="1">
        <v>25</v>
      </c>
      <c r="C13" s="1">
        <v>25</v>
      </c>
      <c r="D13" s="1">
        <v>25</v>
      </c>
      <c r="F13" s="1">
        <f t="shared" si="0"/>
        <v>75</v>
      </c>
      <c r="G13" s="1">
        <f t="shared" si="1"/>
        <v>2.5125628140703519E-2</v>
      </c>
    </row>
    <row r="14" spans="1:7" x14ac:dyDescent="0.25">
      <c r="A14" s="1" t="s">
        <v>22</v>
      </c>
      <c r="B14" s="1">
        <v>25</v>
      </c>
      <c r="C14" s="1">
        <v>25</v>
      </c>
      <c r="D14" s="1">
        <v>25</v>
      </c>
      <c r="F14" s="1">
        <f t="shared" si="0"/>
        <v>75</v>
      </c>
      <c r="G14" s="1">
        <f t="shared" si="1"/>
        <v>2.5125628140703519E-2</v>
      </c>
    </row>
    <row r="15" spans="1:7" x14ac:dyDescent="0.25">
      <c r="A15" s="1" t="s">
        <v>20</v>
      </c>
      <c r="B15" s="1">
        <v>15</v>
      </c>
      <c r="C15" s="1">
        <v>15</v>
      </c>
      <c r="D15" s="1">
        <v>15</v>
      </c>
      <c r="F15" s="1">
        <f t="shared" si="0"/>
        <v>45</v>
      </c>
      <c r="G15" s="1">
        <f t="shared" si="1"/>
        <v>1.507537688442211E-2</v>
      </c>
    </row>
    <row r="16" spans="1:7" x14ac:dyDescent="0.25">
      <c r="A16" s="1" t="s">
        <v>21</v>
      </c>
      <c r="B16" s="1">
        <f>45/3</f>
        <v>15</v>
      </c>
      <c r="C16" s="1">
        <f t="shared" ref="C16:D16" si="3">45/3</f>
        <v>15</v>
      </c>
      <c r="D16" s="1">
        <f t="shared" si="3"/>
        <v>15</v>
      </c>
      <c r="F16" s="1">
        <f t="shared" si="0"/>
        <v>45</v>
      </c>
      <c r="G16" s="1">
        <f t="shared" si="1"/>
        <v>1.507537688442211E-2</v>
      </c>
    </row>
    <row r="17" spans="1:8" x14ac:dyDescent="0.25">
      <c r="A17" s="1" t="s">
        <v>16</v>
      </c>
      <c r="B17" s="1">
        <v>10</v>
      </c>
      <c r="C17" s="1">
        <v>10</v>
      </c>
      <c r="D17" s="1">
        <v>10</v>
      </c>
      <c r="F17" s="1">
        <f t="shared" si="0"/>
        <v>30</v>
      </c>
      <c r="G17" s="1">
        <f t="shared" si="1"/>
        <v>1.0050251256281407E-2</v>
      </c>
    </row>
    <row r="19" spans="1:8" x14ac:dyDescent="0.25">
      <c r="A19" s="1" t="s">
        <v>0</v>
      </c>
      <c r="B19" s="1">
        <f>SUM(B8:B17)</f>
        <v>1015</v>
      </c>
      <c r="C19" s="1">
        <f t="shared" ref="C19:D19" si="4">SUM(C8:C17)</f>
        <v>990</v>
      </c>
      <c r="D19" s="1">
        <f t="shared" si="4"/>
        <v>980</v>
      </c>
      <c r="F19" s="1">
        <f>SUM(F8:F17)</f>
        <v>2985</v>
      </c>
    </row>
    <row r="20" spans="1:8" x14ac:dyDescent="0.25">
      <c r="A20" s="1" t="s">
        <v>2</v>
      </c>
      <c r="B20" s="1">
        <f>B5-B19</f>
        <v>85</v>
      </c>
      <c r="C20" s="1">
        <f t="shared" ref="C20:D20" si="5">C5-C19</f>
        <v>210</v>
      </c>
      <c r="D20" s="1">
        <f t="shared" si="5"/>
        <v>220</v>
      </c>
      <c r="G20" s="1">
        <f>SUM(B20:D20)</f>
        <v>515</v>
      </c>
      <c r="H20" s="1" t="s">
        <v>4</v>
      </c>
    </row>
  </sheetData>
  <printOptions horizontalCentered="1" verticalCentered="1"/>
  <pageMargins left="0.7" right="0.7" top="0.75" bottom="0.75" header="0.3" footer="0.3"/>
  <pageSetup scale="51" orientation="landscape" r:id="rId1"/>
  <headerFooter>
    <oddFooter>&amp;RContestant Number
Job 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20"/>
  <sheetViews>
    <sheetView workbookViewId="0">
      <selection activeCell="A14" sqref="A14"/>
    </sheetView>
  </sheetViews>
  <sheetFormatPr defaultColWidth="9" defaultRowHeight="15.75" x14ac:dyDescent="0.25"/>
  <cols>
    <col min="1" max="1" width="27.85546875" style="1" bestFit="1" customWidth="1"/>
    <col min="2" max="4" width="9.28515625" style="1" bestFit="1" customWidth="1"/>
    <col min="5" max="5" width="12.5703125" style="1" customWidth="1"/>
    <col min="6" max="7" width="16.5703125" style="1" customWidth="1"/>
    <col min="8" max="16384" width="9" style="1"/>
  </cols>
  <sheetData>
    <row r="1" spans="1:8" ht="23.25" x14ac:dyDescent="0.35">
      <c r="A1" s="19" t="s">
        <v>6</v>
      </c>
      <c r="B1" s="20"/>
      <c r="C1" s="20"/>
      <c r="D1" s="20"/>
      <c r="E1" s="20"/>
      <c r="F1" s="20"/>
      <c r="G1" s="20"/>
      <c r="H1" s="5"/>
    </row>
    <row r="2" spans="1:8" x14ac:dyDescent="0.25">
      <c r="A2" s="6"/>
      <c r="B2" s="7"/>
      <c r="C2" s="7"/>
      <c r="D2" s="7"/>
      <c r="E2" s="7"/>
      <c r="F2" s="7"/>
      <c r="G2" s="7"/>
      <c r="H2" s="8"/>
    </row>
    <row r="3" spans="1:8" x14ac:dyDescent="0.25">
      <c r="A3" s="6"/>
      <c r="B3" s="21" t="s">
        <v>17</v>
      </c>
      <c r="C3" s="21" t="s">
        <v>18</v>
      </c>
      <c r="D3" s="21" t="s">
        <v>19</v>
      </c>
      <c r="E3" s="24" t="s">
        <v>1</v>
      </c>
      <c r="F3" s="24" t="s">
        <v>3</v>
      </c>
      <c r="G3" s="24" t="s">
        <v>5</v>
      </c>
      <c r="H3" s="8"/>
    </row>
    <row r="4" spans="1:8" x14ac:dyDescent="0.25">
      <c r="A4" s="9" t="s">
        <v>7</v>
      </c>
      <c r="B4" s="21"/>
      <c r="C4" s="21"/>
      <c r="D4" s="21"/>
      <c r="E4" s="24"/>
      <c r="F4" s="24"/>
      <c r="G4" s="24"/>
      <c r="H4" s="8"/>
    </row>
    <row r="5" spans="1:8" x14ac:dyDescent="0.25">
      <c r="A5" s="9" t="s">
        <v>8</v>
      </c>
      <c r="B5" s="10">
        <v>1100</v>
      </c>
      <c r="C5" s="10">
        <v>1200</v>
      </c>
      <c r="D5" s="10">
        <v>1200</v>
      </c>
      <c r="E5" s="11">
        <f>SUM(B5:D5)</f>
        <v>3500</v>
      </c>
      <c r="F5" s="10"/>
      <c r="G5" s="7"/>
      <c r="H5" s="8"/>
    </row>
    <row r="6" spans="1:8" x14ac:dyDescent="0.25">
      <c r="A6" s="6"/>
      <c r="B6" s="10"/>
      <c r="C6" s="10"/>
      <c r="D6" s="10"/>
      <c r="E6" s="10"/>
      <c r="F6" s="10"/>
      <c r="G6" s="7"/>
      <c r="H6" s="8"/>
    </row>
    <row r="7" spans="1:8" x14ac:dyDescent="0.25">
      <c r="A7" s="22" t="s">
        <v>9</v>
      </c>
      <c r="B7" s="23"/>
      <c r="C7" s="23"/>
      <c r="D7" s="23"/>
      <c r="E7" s="23"/>
      <c r="F7" s="23"/>
      <c r="G7" s="23"/>
      <c r="H7" s="8"/>
    </row>
    <row r="8" spans="1:8" x14ac:dyDescent="0.25">
      <c r="A8" s="6" t="s">
        <v>13</v>
      </c>
      <c r="B8" s="10">
        <f>(450*2)/12</f>
        <v>75</v>
      </c>
      <c r="C8" s="10">
        <f t="shared" ref="C8:D8" si="0">(450*2)/12</f>
        <v>75</v>
      </c>
      <c r="D8" s="10">
        <f t="shared" si="0"/>
        <v>75</v>
      </c>
      <c r="E8" s="10"/>
      <c r="F8" s="10">
        <f t="shared" ref="F8:F17" si="1">SUM(B8:D8)</f>
        <v>225</v>
      </c>
      <c r="G8" s="12">
        <f t="shared" ref="G8:G17" si="2">F8/$F$19</f>
        <v>7.5376884422110546E-2</v>
      </c>
      <c r="H8" s="8"/>
    </row>
    <row r="9" spans="1:8" x14ac:dyDescent="0.25">
      <c r="A9" s="6" t="s">
        <v>21</v>
      </c>
      <c r="B9" s="10">
        <f>45/3</f>
        <v>15</v>
      </c>
      <c r="C9" s="10">
        <f>45/3</f>
        <v>15</v>
      </c>
      <c r="D9" s="10">
        <f>45/3</f>
        <v>15</v>
      </c>
      <c r="E9" s="10"/>
      <c r="F9" s="10">
        <f t="shared" si="1"/>
        <v>45</v>
      </c>
      <c r="G9" s="12">
        <f t="shared" si="2"/>
        <v>1.507537688442211E-2</v>
      </c>
      <c r="H9" s="8"/>
    </row>
    <row r="10" spans="1:8" x14ac:dyDescent="0.25">
      <c r="A10" s="6" t="s">
        <v>11</v>
      </c>
      <c r="B10" s="10">
        <v>200</v>
      </c>
      <c r="C10" s="10">
        <v>200</v>
      </c>
      <c r="D10" s="10">
        <v>200</v>
      </c>
      <c r="E10" s="10"/>
      <c r="F10" s="10">
        <f t="shared" si="1"/>
        <v>600</v>
      </c>
      <c r="G10" s="12">
        <f t="shared" si="2"/>
        <v>0.20100502512562815</v>
      </c>
      <c r="H10" s="8"/>
    </row>
    <row r="11" spans="1:8" x14ac:dyDescent="0.25">
      <c r="A11" s="6" t="s">
        <v>12</v>
      </c>
      <c r="B11" s="10">
        <v>100</v>
      </c>
      <c r="C11" s="10">
        <v>100</v>
      </c>
      <c r="D11" s="10">
        <v>100</v>
      </c>
      <c r="E11" s="10"/>
      <c r="F11" s="10">
        <f t="shared" si="1"/>
        <v>300</v>
      </c>
      <c r="G11" s="12">
        <f t="shared" si="2"/>
        <v>0.10050251256281408</v>
      </c>
      <c r="H11" s="8"/>
    </row>
    <row r="12" spans="1:8" x14ac:dyDescent="0.25">
      <c r="A12" s="6" t="s">
        <v>10</v>
      </c>
      <c r="B12" s="10">
        <v>500</v>
      </c>
      <c r="C12" s="10">
        <v>500</v>
      </c>
      <c r="D12" s="10">
        <v>500</v>
      </c>
      <c r="E12" s="10"/>
      <c r="F12" s="10">
        <f t="shared" si="1"/>
        <v>1500</v>
      </c>
      <c r="G12" s="12">
        <f t="shared" si="2"/>
        <v>0.50251256281407031</v>
      </c>
      <c r="H12" s="8"/>
    </row>
    <row r="13" spans="1:8" x14ac:dyDescent="0.25">
      <c r="A13" s="6" t="s">
        <v>14</v>
      </c>
      <c r="B13" s="10">
        <v>50</v>
      </c>
      <c r="C13" s="10">
        <v>25</v>
      </c>
      <c r="D13" s="10">
        <v>15</v>
      </c>
      <c r="E13" s="10"/>
      <c r="F13" s="10">
        <f t="shared" si="1"/>
        <v>90</v>
      </c>
      <c r="G13" s="12">
        <f t="shared" si="2"/>
        <v>3.015075376884422E-2</v>
      </c>
      <c r="H13" s="8"/>
    </row>
    <row r="14" spans="1:8" x14ac:dyDescent="0.25">
      <c r="A14" s="1" t="s">
        <v>22</v>
      </c>
      <c r="B14" s="10">
        <v>25</v>
      </c>
      <c r="C14" s="10">
        <v>25</v>
      </c>
      <c r="D14" s="10">
        <v>25</v>
      </c>
      <c r="E14" s="10"/>
      <c r="F14" s="10">
        <f t="shared" si="1"/>
        <v>75</v>
      </c>
      <c r="G14" s="12">
        <f t="shared" si="2"/>
        <v>2.5125628140703519E-2</v>
      </c>
      <c r="H14" s="8"/>
    </row>
    <row r="15" spans="1:8" x14ac:dyDescent="0.25">
      <c r="A15" s="6" t="s">
        <v>20</v>
      </c>
      <c r="B15" s="10">
        <v>15</v>
      </c>
      <c r="C15" s="10">
        <v>15</v>
      </c>
      <c r="D15" s="10">
        <v>15</v>
      </c>
      <c r="E15" s="10"/>
      <c r="F15" s="10">
        <f t="shared" si="1"/>
        <v>45</v>
      </c>
      <c r="G15" s="12">
        <f t="shared" si="2"/>
        <v>1.507537688442211E-2</v>
      </c>
      <c r="H15" s="8"/>
    </row>
    <row r="16" spans="1:8" x14ac:dyDescent="0.25">
      <c r="A16" s="6" t="s">
        <v>16</v>
      </c>
      <c r="B16" s="10">
        <v>10</v>
      </c>
      <c r="C16" s="10">
        <v>10</v>
      </c>
      <c r="D16" s="10">
        <v>10</v>
      </c>
      <c r="E16" s="10"/>
      <c r="F16" s="10">
        <f t="shared" si="1"/>
        <v>30</v>
      </c>
      <c r="G16" s="12">
        <f t="shared" si="2"/>
        <v>1.0050251256281407E-2</v>
      </c>
      <c r="H16" s="8"/>
    </row>
    <row r="17" spans="1:8" x14ac:dyDescent="0.25">
      <c r="A17" s="6" t="s">
        <v>15</v>
      </c>
      <c r="B17" s="10">
        <v>25</v>
      </c>
      <c r="C17" s="10">
        <v>25</v>
      </c>
      <c r="D17" s="10">
        <v>25</v>
      </c>
      <c r="E17" s="10"/>
      <c r="F17" s="10">
        <f t="shared" si="1"/>
        <v>75</v>
      </c>
      <c r="G17" s="12">
        <f t="shared" si="2"/>
        <v>2.5125628140703519E-2</v>
      </c>
      <c r="H17" s="8"/>
    </row>
    <row r="18" spans="1:8" x14ac:dyDescent="0.25">
      <c r="A18" s="6"/>
      <c r="B18" s="10"/>
      <c r="C18" s="10"/>
      <c r="D18" s="10"/>
      <c r="E18" s="10"/>
      <c r="F18" s="10"/>
      <c r="G18" s="7"/>
      <c r="H18" s="8"/>
    </row>
    <row r="19" spans="1:8" x14ac:dyDescent="0.25">
      <c r="A19" s="13" t="s">
        <v>0</v>
      </c>
      <c r="B19" s="3">
        <f>SUM(B8:B17)</f>
        <v>1015</v>
      </c>
      <c r="C19" s="3">
        <f t="shared" ref="C19:D19" si="3">SUM(C8:C17)</f>
        <v>990</v>
      </c>
      <c r="D19" s="3">
        <f t="shared" si="3"/>
        <v>980</v>
      </c>
      <c r="E19" s="3"/>
      <c r="F19" s="4">
        <f>SUM(F8:F17)</f>
        <v>2985</v>
      </c>
      <c r="G19" s="2"/>
      <c r="H19" s="14"/>
    </row>
    <row r="20" spans="1:8" ht="60.75" thickBot="1" x14ac:dyDescent="0.3">
      <c r="A20" s="15" t="s">
        <v>2</v>
      </c>
      <c r="B20" s="16">
        <f>B5-B19</f>
        <v>85</v>
      </c>
      <c r="C20" s="16">
        <f t="shared" ref="C20:D20" si="4">C5-C19</f>
        <v>210</v>
      </c>
      <c r="D20" s="16">
        <f t="shared" si="4"/>
        <v>220</v>
      </c>
      <c r="E20" s="16"/>
      <c r="F20" s="16"/>
      <c r="G20" s="18">
        <f>SUM(B20:D20)</f>
        <v>515</v>
      </c>
      <c r="H20" s="17" t="s">
        <v>4</v>
      </c>
    </row>
  </sheetData>
  <sortState ref="A8:G17">
    <sortCondition ref="A8:A17"/>
    <sortCondition ref="F8:F17"/>
  </sortState>
  <mergeCells count="8">
    <mergeCell ref="A1:G1"/>
    <mergeCell ref="B3:B4"/>
    <mergeCell ref="C3:C4"/>
    <mergeCell ref="D3:D4"/>
    <mergeCell ref="A7:G7"/>
    <mergeCell ref="E3:E4"/>
    <mergeCell ref="F3:F4"/>
    <mergeCell ref="G3:G4"/>
  </mergeCells>
  <printOptions horizontalCentered="1" verticalCentered="1"/>
  <pageMargins left="0.7" right="0.7" top="0.75" bottom="0.75" header="0.3" footer="0.3"/>
  <pageSetup orientation="landscape" r:id="rId1"/>
  <headerFooter>
    <oddFooter>&amp;RContestant Number
Job 2</oddFooter>
  </headerFooter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xr2:uid="{00000000-0003-0000-0200-000000000000}">
          <x14:colorSeries rgb="FF5687C2"/>
          <x14:colorNegative rgb="FFFFB620"/>
          <x14:colorAxis rgb="FF000000"/>
          <x14:colorMarkers rgb="FFD70077"/>
          <x14:colorFirst rgb="FF777777"/>
          <x14:colorLast rgb="FF359CEB"/>
          <x14:colorHigh rgb="FF56BE79"/>
          <x14:colorLow rgb="FFFF5055"/>
          <x14:sparklines>
            <x14:sparkline>
              <xm:f>'Job 2'!B20:E20</xm:f>
              <xm:sqref>E20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C35" sqref="C35"/>
    </sheetView>
  </sheetViews>
  <sheetFormatPr defaultRowHeight="15" x14ac:dyDescent="0.25"/>
  <sheetData/>
  <pageMargins left="0.7" right="0.7" top="0.75" bottom="0.75" header="0.3" footer="0.3"/>
  <pageSetup orientation="landscape" r:id="rId1"/>
  <headerFooter>
    <oddFooter>&amp;RContestant Number
Job 3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Job 1</vt:lpstr>
      <vt:lpstr>Job 1 Formulas</vt:lpstr>
      <vt:lpstr>Job 2</vt:lpstr>
      <vt:lpstr>Summer Expense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Campbell</dc:creator>
  <cp:lastModifiedBy>Dustin</cp:lastModifiedBy>
  <cp:lastPrinted>2018-07-19T17:51:55Z</cp:lastPrinted>
  <dcterms:created xsi:type="dcterms:W3CDTF">2018-07-18T16:51:14Z</dcterms:created>
  <dcterms:modified xsi:type="dcterms:W3CDTF">2018-12-15T05:40:55Z</dcterms:modified>
</cp:coreProperties>
</file>