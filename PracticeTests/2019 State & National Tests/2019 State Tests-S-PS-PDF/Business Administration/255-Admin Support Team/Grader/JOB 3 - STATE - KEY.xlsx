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roll\Desktop\CEAC - SUMMER 2018 Meeting\DC\255 - Administrative Support Team - STATE 2019\255 - KEYS 2019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" l="1"/>
  <c r="G14" i="1"/>
  <c r="H12" i="1"/>
  <c r="F12" i="1"/>
  <c r="F9" i="1"/>
  <c r="H9" i="1" s="1"/>
  <c r="F8" i="1"/>
  <c r="H8" i="1" s="1"/>
  <c r="F11" i="1"/>
  <c r="H11" i="1" s="1"/>
  <c r="F13" i="1"/>
  <c r="H13" i="1" s="1"/>
  <c r="F5" i="1"/>
  <c r="H5" i="1" s="1"/>
  <c r="F10" i="1"/>
  <c r="H10" i="1" s="1"/>
  <c r="F7" i="1"/>
  <c r="F14" i="1" s="1"/>
  <c r="F6" i="1"/>
  <c r="H6" i="1" s="1"/>
  <c r="H7" i="1" l="1"/>
  <c r="H14" i="1" s="1"/>
</calcChain>
</file>

<file path=xl/sharedStrings.xml><?xml version="1.0" encoding="utf-8"?>
<sst xmlns="http://schemas.openxmlformats.org/spreadsheetml/2006/main" count="46" uniqueCount="46">
  <si>
    <t xml:space="preserve">Professional Business Associates Staff Training Event </t>
  </si>
  <si>
    <t>Employee Name (First)</t>
  </si>
  <si>
    <t>Employee Name (Last)</t>
  </si>
  <si>
    <t>Cost of Flight</t>
  </si>
  <si>
    <t>Cost of Hotel</t>
  </si>
  <si>
    <t>Cost of Registration</t>
  </si>
  <si>
    <t>Total Cost Per Person</t>
  </si>
  <si>
    <t>Carrie</t>
  </si>
  <si>
    <t>Clooney</t>
  </si>
  <si>
    <t>Cooper</t>
  </si>
  <si>
    <t>Redford</t>
  </si>
  <si>
    <t>Pitt</t>
  </si>
  <si>
    <t>Strait</t>
  </si>
  <si>
    <t>Smith</t>
  </si>
  <si>
    <t>Weber</t>
  </si>
  <si>
    <t>Aniston</t>
  </si>
  <si>
    <t>Rodgers</t>
  </si>
  <si>
    <t>Amy</t>
  </si>
  <si>
    <t>Jane</t>
  </si>
  <si>
    <t>Heather</t>
  </si>
  <si>
    <t>Donna</t>
  </si>
  <si>
    <t>Dianne</t>
  </si>
  <si>
    <t>Brian</t>
  </si>
  <si>
    <t>Joseph</t>
  </si>
  <si>
    <t>Linda</t>
  </si>
  <si>
    <t>Juneau</t>
  </si>
  <si>
    <t>Columbus</t>
  </si>
  <si>
    <t>Tallahassee</t>
  </si>
  <si>
    <t>Springfield</t>
  </si>
  <si>
    <t>Austin</t>
  </si>
  <si>
    <t>Topeka</t>
  </si>
  <si>
    <t>Madison</t>
  </si>
  <si>
    <t>Lansing</t>
  </si>
  <si>
    <t>Des Moines</t>
  </si>
  <si>
    <t>Alaska</t>
  </si>
  <si>
    <t>Ohio</t>
  </si>
  <si>
    <t>Florida</t>
  </si>
  <si>
    <t>Illinois</t>
  </si>
  <si>
    <t>Texas</t>
  </si>
  <si>
    <t>Kansas</t>
  </si>
  <si>
    <t>Wisconsin</t>
  </si>
  <si>
    <t>Michigan</t>
  </si>
  <si>
    <t>Iowa</t>
  </si>
  <si>
    <t>Staff Training Event Expenses</t>
  </si>
  <si>
    <t>City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</si>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</sst>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>
      <alignment vertical="center" wrapText="1"/>
    </xf>
    <xf numFmtId="44" fontId="2" fillId="0" borderId="0" xfId="0" applyNumberFormat="1" applyFont="1" applyBorder="1"/>
    <xf numFmtId="0" fontId="1" fillId="0" borderId="0" xfId="0" applyFont="1" applyBorder="1"/>
    <xf numFmtId="44" fontId="3" fillId="0" borderId="0" xfId="0" applyNumberFormat="1" applyFont="1" applyBorder="1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16</xdr:row>
      <xdr:rowOff>0</xdr:rowOff>
    </xdr:from>
    <xdr:to>
      <xdr:col>5</xdr:col>
      <xdr:colOff>1285875</xdr:colOff>
      <xdr:row>41</xdr:row>
      <xdr:rowOff>87235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3486150"/>
          <a:ext cx="9248775" cy="484973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4" name="Table4" displayName="Table4" ref="A4:H14" totalsRowShown="0" headerRowDxfId="9" dataDxfId="8">
  <autoFilter ref="A4:H14"/>
  <sortState ref="A4:H13">
    <sortCondition ref="B3:B13"/>
  </sortState>
  <tableColumns count="8">
    <tableColumn id="1" name="Employee Name (First)" dataDxfId="7"/>
    <tableColumn id="2" name="Employee Name (Last)" dataDxfId="6"/>
    <tableColumn id="3" name="City" dataDxfId="5"/>
    <tableColumn id="4" name="State" dataDxfId="4"/>
    <tableColumn id="5" name="Cost of Flight" dataDxfId="3"/>
    <tableColumn id="6" name="Cost of Hotel" dataDxfId="2"/>
    <tableColumn id="7" name="Cost of Registration" dataDxfId="1"/>
    <tableColumn id="8" name="Total Cost Per Person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tabSelected="1" workbookViewId="0">
      <selection activeCell="H29" sqref="H29"/>
    </sheetView>
  </sheetViews>
  <sheetFormatPr defaultRowHeight="15" x14ac:dyDescent="0.25"/>
  <cols>
    <col min="1" max="8" width="24.7109375" customWidth="1"/>
  </cols>
  <sheetData>
    <row r="1" spans="1:8" ht="20.25" x14ac:dyDescent="0.3">
      <c r="A1" s="7" t="s">
        <v>0</v>
      </c>
      <c r="B1" s="7"/>
      <c r="C1" s="7"/>
      <c r="D1" s="7"/>
      <c r="E1" s="7"/>
      <c r="F1" s="7"/>
      <c r="G1" s="7"/>
      <c r="H1" s="7"/>
    </row>
    <row r="2" spans="1:8" ht="20.25" x14ac:dyDescent="0.3">
      <c r="A2" s="7" t="s">
        <v>43</v>
      </c>
      <c r="B2" s="7"/>
      <c r="C2" s="7"/>
      <c r="D2" s="7"/>
      <c r="E2" s="7"/>
      <c r="F2" s="7"/>
      <c r="G2" s="7"/>
      <c r="H2" s="7"/>
    </row>
    <row r="4" spans="1:8" ht="31.5" x14ac:dyDescent="0.25">
      <c r="A4" s="6" t="s">
        <v>1</v>
      </c>
      <c r="B4" s="6" t="s">
        <v>2</v>
      </c>
      <c r="C4" s="6" t="s">
        <v>44</v>
      </c>
      <c r="D4" s="6" t="s">
        <v>45</v>
      </c>
      <c r="E4" s="6" t="s">
        <v>3</v>
      </c>
      <c r="F4" s="6" t="s">
        <v>4</v>
      </c>
      <c r="G4" s="6" t="s">
        <v>5</v>
      </c>
      <c r="H4" s="6" t="s">
        <v>6</v>
      </c>
    </row>
    <row r="5" spans="1:8" ht="15.75" x14ac:dyDescent="0.25">
      <c r="A5" s="1" t="s">
        <v>23</v>
      </c>
      <c r="B5" s="1" t="s">
        <v>15</v>
      </c>
      <c r="C5" s="2" t="s">
        <v>32</v>
      </c>
      <c r="D5" s="2" t="s">
        <v>41</v>
      </c>
      <c r="E5" s="3">
        <v>275.54000000000002</v>
      </c>
      <c r="F5" s="3">
        <f>89*3</f>
        <v>267</v>
      </c>
      <c r="G5" s="3">
        <v>119</v>
      </c>
      <c r="H5" s="3">
        <f t="shared" ref="H5:H13" si="0">SUM(E5:G5)</f>
        <v>661.54</v>
      </c>
    </row>
    <row r="6" spans="1:8" ht="15.75" x14ac:dyDescent="0.25">
      <c r="A6" s="1" t="s">
        <v>7</v>
      </c>
      <c r="B6" s="1" t="s">
        <v>8</v>
      </c>
      <c r="C6" s="2" t="s">
        <v>25</v>
      </c>
      <c r="D6" s="2" t="s">
        <v>34</v>
      </c>
      <c r="E6" s="3">
        <v>1564.54</v>
      </c>
      <c r="F6" s="3">
        <f>89*4</f>
        <v>356</v>
      </c>
      <c r="G6" s="3">
        <v>119</v>
      </c>
      <c r="H6" s="3">
        <f t="shared" si="0"/>
        <v>2039.54</v>
      </c>
    </row>
    <row r="7" spans="1:8" ht="15.75" x14ac:dyDescent="0.25">
      <c r="A7" s="1" t="s">
        <v>17</v>
      </c>
      <c r="B7" s="1" t="s">
        <v>9</v>
      </c>
      <c r="C7" s="2" t="s">
        <v>26</v>
      </c>
      <c r="D7" s="2" t="s">
        <v>35</v>
      </c>
      <c r="E7" s="3">
        <v>0</v>
      </c>
      <c r="F7" s="3">
        <f>89*3</f>
        <v>267</v>
      </c>
      <c r="G7" s="3">
        <v>119</v>
      </c>
      <c r="H7" s="3">
        <f t="shared" si="0"/>
        <v>386</v>
      </c>
    </row>
    <row r="8" spans="1:8" ht="15.75" x14ac:dyDescent="0.25">
      <c r="A8" s="1" t="s">
        <v>19</v>
      </c>
      <c r="B8" s="1" t="s">
        <v>11</v>
      </c>
      <c r="C8" s="2" t="s">
        <v>28</v>
      </c>
      <c r="D8" s="2" t="s">
        <v>37</v>
      </c>
      <c r="E8" s="3">
        <v>205</v>
      </c>
      <c r="F8" s="3">
        <f>89*3</f>
        <v>267</v>
      </c>
      <c r="G8" s="3">
        <v>119</v>
      </c>
      <c r="H8" s="3">
        <f t="shared" si="0"/>
        <v>591</v>
      </c>
    </row>
    <row r="9" spans="1:8" ht="15.75" x14ac:dyDescent="0.25">
      <c r="A9" s="1" t="s">
        <v>18</v>
      </c>
      <c r="B9" s="1" t="s">
        <v>10</v>
      </c>
      <c r="C9" s="2" t="s">
        <v>27</v>
      </c>
      <c r="D9" s="2" t="s">
        <v>36</v>
      </c>
      <c r="E9" s="3">
        <v>465.55</v>
      </c>
      <c r="F9" s="3">
        <f>89*3</f>
        <v>267</v>
      </c>
      <c r="G9" s="3">
        <v>119</v>
      </c>
      <c r="H9" s="3">
        <f t="shared" si="0"/>
        <v>851.55</v>
      </c>
    </row>
    <row r="10" spans="1:8" ht="15.75" x14ac:dyDescent="0.25">
      <c r="A10" s="1" t="s">
        <v>24</v>
      </c>
      <c r="B10" s="1" t="s">
        <v>16</v>
      </c>
      <c r="C10" s="2" t="s">
        <v>33</v>
      </c>
      <c r="D10" s="2" t="s">
        <v>42</v>
      </c>
      <c r="E10" s="3">
        <v>345.52</v>
      </c>
      <c r="F10" s="3">
        <f>89*3</f>
        <v>267</v>
      </c>
      <c r="G10" s="3">
        <v>119</v>
      </c>
      <c r="H10" s="3">
        <f t="shared" si="0"/>
        <v>731.52</v>
      </c>
    </row>
    <row r="11" spans="1:8" ht="15.75" x14ac:dyDescent="0.25">
      <c r="A11" s="1" t="s">
        <v>21</v>
      </c>
      <c r="B11" s="1" t="s">
        <v>13</v>
      </c>
      <c r="C11" s="2" t="s">
        <v>30</v>
      </c>
      <c r="D11" s="2" t="s">
        <v>39</v>
      </c>
      <c r="E11" s="3">
        <v>546.55999999999995</v>
      </c>
      <c r="F11" s="3">
        <f>89*3</f>
        <v>267</v>
      </c>
      <c r="G11" s="3">
        <v>119</v>
      </c>
      <c r="H11" s="3">
        <f t="shared" si="0"/>
        <v>932.56</v>
      </c>
    </row>
    <row r="12" spans="1:8" ht="15.75" x14ac:dyDescent="0.25">
      <c r="A12" s="1" t="s">
        <v>20</v>
      </c>
      <c r="B12" s="1" t="s">
        <v>12</v>
      </c>
      <c r="C12" s="2" t="s">
        <v>29</v>
      </c>
      <c r="D12" s="2" t="s">
        <v>38</v>
      </c>
      <c r="E12" s="3">
        <v>456.48</v>
      </c>
      <c r="F12" s="3">
        <f>89*4</f>
        <v>356</v>
      </c>
      <c r="G12" s="3">
        <v>119</v>
      </c>
      <c r="H12" s="3">
        <f t="shared" si="0"/>
        <v>931.48</v>
      </c>
    </row>
    <row r="13" spans="1:8" ht="15.75" x14ac:dyDescent="0.25">
      <c r="A13" s="1" t="s">
        <v>22</v>
      </c>
      <c r="B13" s="1" t="s">
        <v>14</v>
      </c>
      <c r="C13" s="2" t="s">
        <v>31</v>
      </c>
      <c r="D13" s="2" t="s">
        <v>40</v>
      </c>
      <c r="E13" s="3">
        <v>325.08</v>
      </c>
      <c r="F13" s="3">
        <f>89*3</f>
        <v>267</v>
      </c>
      <c r="G13" s="3">
        <v>119</v>
      </c>
      <c r="H13" s="3">
        <f t="shared" si="0"/>
        <v>711.07999999999993</v>
      </c>
    </row>
    <row r="14" spans="1:8" ht="15.75" x14ac:dyDescent="0.25">
      <c r="A14" s="4"/>
      <c r="B14" s="4"/>
      <c r="C14" s="4"/>
      <c r="D14" s="4"/>
      <c r="E14" s="5">
        <f>SUM(E5:E13)</f>
        <v>4184.2700000000004</v>
      </c>
      <c r="F14" s="5">
        <f>SUM(F5:F13)</f>
        <v>2581</v>
      </c>
      <c r="G14" s="5">
        <f>SUM(G5:G13)</f>
        <v>1071</v>
      </c>
      <c r="H14" s="5">
        <f>SUM(H5:H13)</f>
        <v>7836.2699999999986</v>
      </c>
    </row>
  </sheetData>
  <mergeCells count="2">
    <mergeCell ref="A1:H1"/>
    <mergeCell ref="A2:H2"/>
  </mergeCells>
  <pageMargins left="0.7" right="0.7" top="0.75" bottom="0.75" header="0.3" footer="0.3"/>
  <pageSetup scale="62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Northcentral Technical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Dianne Carroll</dc:creator>
  <cp:lastModifiedBy>Dianne Carroll</cp:lastModifiedBy>
  <cp:lastPrinted>2018-07-19T16:50:07Z</cp:lastPrinted>
  <dcterms:created xsi:type="dcterms:W3CDTF">2018-07-18T17:06:39Z</dcterms:created>
  <dcterms:modified xsi:type="dcterms:W3CDTF">2018-07-19T17:29:26Z</dcterms:modified>
</cp:coreProperties>
</file>