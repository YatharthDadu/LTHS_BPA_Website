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ybu\Documents\2019 contests\Database\"/>
    </mc:Choice>
  </mc:AlternateContent>
  <xr:revisionPtr revIDLastSave="0" documentId="13_ncr:1_{86ABFA4A-FD53-47E3-8797-B5065BDC52D7}" xr6:coauthVersionLast="28" xr6:coauthVersionMax="28" xr10:uidLastSave="{00000000-0000-0000-0000-000000000000}"/>
  <bookViews>
    <workbookView xWindow="0" yWindow="0" windowWidth="15345" windowHeight="4455" xr2:uid="{C08FEA21-4874-4DF1-B804-FA53963C7369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4" i="1" l="1"/>
  <c r="F5" i="1"/>
  <c r="F35" i="1"/>
  <c r="F18" i="1"/>
  <c r="F40" i="1"/>
  <c r="F33" i="1"/>
  <c r="F17" i="1"/>
  <c r="F15" i="1"/>
  <c r="F44" i="1"/>
  <c r="F31" i="1"/>
  <c r="F21" i="1"/>
  <c r="F38" i="1"/>
  <c r="F42" i="1"/>
  <c r="F41" i="1"/>
  <c r="F29" i="1"/>
  <c r="F11" i="1"/>
  <c r="F16" i="1"/>
  <c r="F9" i="1"/>
  <c r="F43" i="1"/>
  <c r="F10" i="1"/>
  <c r="F14" i="1"/>
  <c r="F8" i="1"/>
  <c r="F3" i="1"/>
  <c r="F45" i="1"/>
  <c r="F26" i="1"/>
  <c r="F6" i="1"/>
  <c r="F23" i="1"/>
  <c r="F39" i="1"/>
  <c r="F4" i="1"/>
  <c r="F19" i="1"/>
  <c r="F27" i="1"/>
  <c r="F12" i="1"/>
  <c r="F28" i="1"/>
  <c r="F32" i="1"/>
  <c r="F24" i="1"/>
  <c r="F37" i="1"/>
  <c r="F30" i="1"/>
  <c r="F7" i="1"/>
  <c r="F25" i="1"/>
  <c r="F36" i="1"/>
  <c r="F22" i="1"/>
  <c r="F13" i="1"/>
  <c r="F20" i="1"/>
  <c r="F2" i="1"/>
</calcChain>
</file>

<file path=xl/sharedStrings.xml><?xml version="1.0" encoding="utf-8"?>
<sst xmlns="http://schemas.openxmlformats.org/spreadsheetml/2006/main" count="6" uniqueCount="6">
  <si>
    <t>WO_ID</t>
  </si>
  <si>
    <t>WO_Date</t>
  </si>
  <si>
    <t>WO_Time</t>
  </si>
  <si>
    <t>WO_Calories</t>
  </si>
  <si>
    <t>Customer_ID</t>
  </si>
  <si>
    <t>Activity_ID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</si>
</sst>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46" fontId="0" fillId="0" borderId="0" xfId="0" applyNumberFormat="1"/>
    <xf numFmtId="2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D7059-0C6C-4EB1-9A02-0A59A51B4B64}">
  <dimension ref="A1:F45"/>
  <sheetViews>
    <sheetView tabSelected="1" workbookViewId="0">
      <selection activeCell="E1" sqref="E1"/>
    </sheetView>
  </sheetViews>
  <sheetFormatPr defaultRowHeight="15" x14ac:dyDescent="0.25"/>
  <cols>
    <col min="3" max="3" width="10.140625" bestFit="1" customWidth="1"/>
    <col min="4" max="4" width="16" customWidth="1"/>
    <col min="5" max="5" width="10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</row>
    <row r="2" spans="1:6" x14ac:dyDescent="0.25">
      <c r="A2">
        <v>10</v>
      </c>
      <c r="B2" s="1">
        <v>43526</v>
      </c>
      <c r="C2" s="2">
        <v>3.8287037037037036E-2</v>
      </c>
      <c r="D2">
        <v>20170001</v>
      </c>
      <c r="E2">
        <v>1</v>
      </c>
      <c r="F2" s="4">
        <f>55*11.4</f>
        <v>627</v>
      </c>
    </row>
    <row r="3" spans="1:6" x14ac:dyDescent="0.25">
      <c r="A3">
        <v>12</v>
      </c>
      <c r="B3" s="1">
        <v>43527</v>
      </c>
      <c r="C3" s="3">
        <v>3.9699074074074072E-3</v>
      </c>
      <c r="D3">
        <v>20170001</v>
      </c>
      <c r="E3">
        <v>5</v>
      </c>
      <c r="F3" s="4">
        <f>5*14.4</f>
        <v>72</v>
      </c>
    </row>
    <row r="4" spans="1:6" x14ac:dyDescent="0.25">
      <c r="A4">
        <v>23</v>
      </c>
      <c r="B4" s="1">
        <v>43528</v>
      </c>
      <c r="C4" s="2">
        <v>1.9768518518518515E-2</v>
      </c>
      <c r="D4">
        <v>20170001</v>
      </c>
      <c r="E4">
        <v>4</v>
      </c>
      <c r="F4" s="4">
        <f>28*8.6</f>
        <v>240.79999999999998</v>
      </c>
    </row>
    <row r="5" spans="1:6" x14ac:dyDescent="0.25">
      <c r="A5">
        <v>36</v>
      </c>
      <c r="B5" s="1">
        <v>43531</v>
      </c>
      <c r="C5" s="2">
        <v>2.9398148148148148E-3</v>
      </c>
      <c r="D5">
        <v>20170001</v>
      </c>
      <c r="E5">
        <v>8</v>
      </c>
      <c r="F5" s="4">
        <f>4*3</f>
        <v>12</v>
      </c>
    </row>
    <row r="6" spans="1:6" x14ac:dyDescent="0.25">
      <c r="A6">
        <v>49</v>
      </c>
      <c r="B6" s="1">
        <v>43532</v>
      </c>
      <c r="C6" s="2">
        <v>1.5150462962962963E-2</v>
      </c>
      <c r="D6">
        <v>20170001</v>
      </c>
      <c r="E6">
        <v>4</v>
      </c>
      <c r="F6" s="4">
        <f>21*8.6</f>
        <v>180.6</v>
      </c>
    </row>
    <row r="7" spans="1:6" x14ac:dyDescent="0.25">
      <c r="A7">
        <v>17</v>
      </c>
      <c r="B7" s="1">
        <v>43527</v>
      </c>
      <c r="C7" s="2">
        <v>4.2534722222222217E-2</v>
      </c>
      <c r="D7">
        <v>20170002</v>
      </c>
      <c r="E7">
        <v>2</v>
      </c>
      <c r="F7" s="4">
        <f>61*6.4</f>
        <v>390.40000000000003</v>
      </c>
    </row>
    <row r="8" spans="1:6" x14ac:dyDescent="0.25">
      <c r="A8">
        <v>16</v>
      </c>
      <c r="B8" s="1">
        <v>43527</v>
      </c>
      <c r="C8" s="2">
        <v>5.7291666666666671E-3</v>
      </c>
      <c r="D8">
        <v>20170002</v>
      </c>
      <c r="E8">
        <v>5</v>
      </c>
      <c r="F8" s="4">
        <f>8*14.4</f>
        <v>115.2</v>
      </c>
    </row>
    <row r="9" spans="1:6" x14ac:dyDescent="0.25">
      <c r="A9">
        <v>15</v>
      </c>
      <c r="B9" s="1">
        <v>43527</v>
      </c>
      <c r="C9" s="2">
        <v>2.3379629629629631E-3</v>
      </c>
      <c r="D9">
        <v>20170002</v>
      </c>
      <c r="E9">
        <v>6</v>
      </c>
      <c r="F9" s="4">
        <f>3.5*9.4</f>
        <v>32.9</v>
      </c>
    </row>
    <row r="10" spans="1:6" x14ac:dyDescent="0.25">
      <c r="A10">
        <v>13</v>
      </c>
      <c r="B10" s="1">
        <v>43527</v>
      </c>
      <c r="C10" s="2">
        <v>2.9050925925925928E-3</v>
      </c>
      <c r="D10">
        <v>20170002</v>
      </c>
      <c r="E10">
        <v>6</v>
      </c>
      <c r="F10" s="4">
        <f>4*9.4</f>
        <v>37.6</v>
      </c>
    </row>
    <row r="11" spans="1:6" x14ac:dyDescent="0.25">
      <c r="A11">
        <v>14</v>
      </c>
      <c r="B11" s="1">
        <v>43527</v>
      </c>
      <c r="C11" s="2">
        <v>1.5856481481481482E-2</v>
      </c>
      <c r="D11">
        <v>20170002</v>
      </c>
      <c r="E11">
        <v>7</v>
      </c>
      <c r="F11" s="4">
        <f>22*4.8</f>
        <v>105.6</v>
      </c>
    </row>
    <row r="12" spans="1:6" x14ac:dyDescent="0.25">
      <c r="A12">
        <v>28</v>
      </c>
      <c r="B12" s="1">
        <v>43530</v>
      </c>
      <c r="C12" s="2">
        <v>1.7048611111111112E-2</v>
      </c>
      <c r="D12">
        <v>20170002</v>
      </c>
      <c r="E12">
        <v>3</v>
      </c>
      <c r="F12" s="4">
        <f>24*10.8</f>
        <v>259.20000000000005</v>
      </c>
    </row>
    <row r="13" spans="1:6" x14ac:dyDescent="0.25">
      <c r="A13">
        <v>29</v>
      </c>
      <c r="B13" s="1">
        <v>43531</v>
      </c>
      <c r="C13" s="2">
        <v>1.9606481481481482E-2</v>
      </c>
      <c r="D13">
        <v>20170002</v>
      </c>
      <c r="E13">
        <v>1</v>
      </c>
      <c r="F13" s="4">
        <f>28*11.4</f>
        <v>319.2</v>
      </c>
    </row>
    <row r="14" spans="1:6" x14ac:dyDescent="0.25">
      <c r="A14">
        <v>30</v>
      </c>
      <c r="B14" s="1">
        <v>43531</v>
      </c>
      <c r="C14" s="2">
        <v>2.7777777777777779E-3</v>
      </c>
      <c r="D14">
        <v>20170002</v>
      </c>
      <c r="E14">
        <v>5</v>
      </c>
      <c r="F14" s="4">
        <f>4*14.4</f>
        <v>57.6</v>
      </c>
    </row>
    <row r="15" spans="1:6" x14ac:dyDescent="0.25">
      <c r="A15">
        <v>41</v>
      </c>
      <c r="B15" s="1">
        <v>43531</v>
      </c>
      <c r="C15" s="2">
        <v>2.162037037037037E-2</v>
      </c>
      <c r="D15">
        <v>20170002</v>
      </c>
      <c r="E15">
        <v>7</v>
      </c>
      <c r="F15" s="4">
        <f>31*4.8</f>
        <v>148.79999999999998</v>
      </c>
    </row>
    <row r="16" spans="1:6" x14ac:dyDescent="0.25">
      <c r="A16">
        <v>42</v>
      </c>
      <c r="B16" s="1">
        <v>43532</v>
      </c>
      <c r="C16" s="2">
        <v>2.8935185185185188E-3</v>
      </c>
      <c r="D16">
        <v>20170002</v>
      </c>
      <c r="E16">
        <v>6</v>
      </c>
      <c r="F16" s="4">
        <f>4*9.4</f>
        <v>37.6</v>
      </c>
    </row>
    <row r="17" spans="1:6" x14ac:dyDescent="0.25">
      <c r="A17">
        <v>43</v>
      </c>
      <c r="B17" s="1">
        <v>43532</v>
      </c>
      <c r="C17" s="2">
        <v>6.0069444444444441E-3</v>
      </c>
      <c r="D17">
        <v>20170002</v>
      </c>
      <c r="E17">
        <v>7</v>
      </c>
      <c r="F17" s="4">
        <f>8*4.8</f>
        <v>38.4</v>
      </c>
    </row>
    <row r="18" spans="1:6" x14ac:dyDescent="0.25">
      <c r="A18">
        <v>18</v>
      </c>
      <c r="B18" s="1">
        <v>43527</v>
      </c>
      <c r="C18" s="3">
        <v>2.3726851851851851E-3</v>
      </c>
      <c r="D18">
        <v>20170003</v>
      </c>
      <c r="E18">
        <v>8</v>
      </c>
      <c r="F18" s="4">
        <f>3*3</f>
        <v>9</v>
      </c>
    </row>
    <row r="19" spans="1:6" x14ac:dyDescent="0.25">
      <c r="A19">
        <v>19</v>
      </c>
      <c r="B19" s="1">
        <v>43528</v>
      </c>
      <c r="C19" s="2">
        <v>6.8634259259259256E-3</v>
      </c>
      <c r="D19">
        <v>20170003</v>
      </c>
      <c r="E19">
        <v>4</v>
      </c>
      <c r="F19" s="4">
        <f>9*8.6</f>
        <v>77.399999999999991</v>
      </c>
    </row>
    <row r="20" spans="1:6" x14ac:dyDescent="0.25">
      <c r="A20">
        <v>20</v>
      </c>
      <c r="B20" s="1">
        <v>43528</v>
      </c>
      <c r="C20" s="2">
        <v>1.0416666666666666E-2</v>
      </c>
      <c r="D20">
        <v>20170003</v>
      </c>
      <c r="E20">
        <v>1</v>
      </c>
      <c r="F20" s="4">
        <f>15*11.4</f>
        <v>171</v>
      </c>
    </row>
    <row r="21" spans="1:6" x14ac:dyDescent="0.25">
      <c r="A21">
        <v>32</v>
      </c>
      <c r="B21" s="1">
        <v>43531</v>
      </c>
      <c r="C21" s="2">
        <v>1.2129629629629629E-2</v>
      </c>
      <c r="D21">
        <v>20170003</v>
      </c>
      <c r="E21">
        <v>7</v>
      </c>
      <c r="F21" s="4">
        <f>17*4.8</f>
        <v>81.599999999999994</v>
      </c>
    </row>
    <row r="22" spans="1:6" x14ac:dyDescent="0.25">
      <c r="A22">
        <v>33</v>
      </c>
      <c r="B22" s="1">
        <v>43531</v>
      </c>
      <c r="C22" s="2">
        <v>3.2071759259259258E-2</v>
      </c>
      <c r="D22">
        <v>20170003</v>
      </c>
      <c r="E22">
        <v>1</v>
      </c>
      <c r="F22" s="4">
        <f>46*11.4</f>
        <v>524.4</v>
      </c>
    </row>
    <row r="23" spans="1:6" x14ac:dyDescent="0.25">
      <c r="A23">
        <v>45</v>
      </c>
      <c r="B23" s="1">
        <v>43532</v>
      </c>
      <c r="C23" s="2">
        <v>1.3495370370370371E-2</v>
      </c>
      <c r="D23">
        <v>20170003</v>
      </c>
      <c r="E23">
        <v>4</v>
      </c>
      <c r="F23" s="4">
        <f>19*8.6</f>
        <v>163.4</v>
      </c>
    </row>
    <row r="24" spans="1:6" x14ac:dyDescent="0.25">
      <c r="A24">
        <v>46</v>
      </c>
      <c r="B24" s="1">
        <v>43532</v>
      </c>
      <c r="C24" s="2">
        <v>4.5416666666666668E-2</v>
      </c>
      <c r="D24">
        <v>20170003</v>
      </c>
      <c r="E24">
        <v>2</v>
      </c>
      <c r="F24" s="4">
        <f>65*6.4</f>
        <v>416</v>
      </c>
    </row>
    <row r="25" spans="1:6" x14ac:dyDescent="0.25">
      <c r="A25">
        <v>9</v>
      </c>
      <c r="B25" s="1">
        <v>43526</v>
      </c>
      <c r="C25" s="2">
        <v>2.9178240740740741E-2</v>
      </c>
      <c r="D25">
        <v>20170004</v>
      </c>
      <c r="E25">
        <v>2</v>
      </c>
      <c r="F25" s="4">
        <f>42*6.4</f>
        <v>268.8</v>
      </c>
    </row>
    <row r="26" spans="1:6" x14ac:dyDescent="0.25">
      <c r="A26">
        <v>8</v>
      </c>
      <c r="B26" s="1">
        <v>43526</v>
      </c>
      <c r="C26" s="2">
        <v>8.7152777777777784E-3</v>
      </c>
      <c r="D26">
        <v>20170004</v>
      </c>
      <c r="E26">
        <v>5</v>
      </c>
      <c r="F26" s="4">
        <f>12*14.4</f>
        <v>172.8</v>
      </c>
    </row>
    <row r="27" spans="1:6" x14ac:dyDescent="0.25">
      <c r="A27">
        <v>11</v>
      </c>
      <c r="B27" s="1">
        <v>43527</v>
      </c>
      <c r="C27" s="2">
        <v>2.1689814814814815E-2</v>
      </c>
      <c r="D27">
        <v>20170004</v>
      </c>
      <c r="E27">
        <v>4</v>
      </c>
      <c r="F27" s="4">
        <f>31*8.6</f>
        <v>266.59999999999997</v>
      </c>
    </row>
    <row r="28" spans="1:6" x14ac:dyDescent="0.25">
      <c r="A28">
        <v>21</v>
      </c>
      <c r="B28" s="1">
        <v>43528</v>
      </c>
      <c r="C28" s="2">
        <v>2.8854166666666667E-2</v>
      </c>
      <c r="D28">
        <v>20170004</v>
      </c>
      <c r="E28">
        <v>3</v>
      </c>
      <c r="F28" s="4">
        <f>41*10.8</f>
        <v>442.8</v>
      </c>
    </row>
    <row r="29" spans="1:6" x14ac:dyDescent="0.25">
      <c r="A29">
        <v>22</v>
      </c>
      <c r="B29" s="1">
        <v>43528</v>
      </c>
      <c r="C29" s="2">
        <v>2.0833333333333332E-2</v>
      </c>
      <c r="D29">
        <v>20170004</v>
      </c>
      <c r="E29">
        <v>7</v>
      </c>
      <c r="F29" s="4">
        <f>30*4.8</f>
        <v>144</v>
      </c>
    </row>
    <row r="30" spans="1:6" x14ac:dyDescent="0.25">
      <c r="A30">
        <v>34</v>
      </c>
      <c r="B30" s="1">
        <v>43531</v>
      </c>
      <c r="C30" s="2">
        <v>2.2893518518518521E-2</v>
      </c>
      <c r="D30">
        <v>20170004</v>
      </c>
      <c r="E30">
        <v>2</v>
      </c>
      <c r="F30" s="4">
        <f>33*6.4</f>
        <v>211.20000000000002</v>
      </c>
    </row>
    <row r="31" spans="1:6" x14ac:dyDescent="0.25">
      <c r="A31">
        <v>35</v>
      </c>
      <c r="B31" s="1">
        <v>43531</v>
      </c>
      <c r="C31" s="2">
        <v>1.9328703703703702E-2</v>
      </c>
      <c r="D31">
        <v>20170004</v>
      </c>
      <c r="E31">
        <v>7</v>
      </c>
      <c r="F31" s="4">
        <f>27*4.8</f>
        <v>129.6</v>
      </c>
    </row>
    <row r="32" spans="1:6" x14ac:dyDescent="0.25">
      <c r="A32">
        <v>48</v>
      </c>
      <c r="B32" s="1">
        <v>43532</v>
      </c>
      <c r="C32" s="2">
        <v>2.75E-2</v>
      </c>
      <c r="D32">
        <v>20170004</v>
      </c>
      <c r="E32">
        <v>2</v>
      </c>
      <c r="F32" s="4">
        <f>39*6.4</f>
        <v>249.60000000000002</v>
      </c>
    </row>
    <row r="33" spans="1:6" x14ac:dyDescent="0.25">
      <c r="A33">
        <v>47</v>
      </c>
      <c r="B33" s="1">
        <v>43532</v>
      </c>
      <c r="C33" s="2">
        <v>3.6319444444444439E-2</v>
      </c>
      <c r="D33">
        <v>20170004</v>
      </c>
      <c r="E33">
        <v>7</v>
      </c>
      <c r="F33" s="4">
        <f>52*4.8</f>
        <v>249.6</v>
      </c>
    </row>
    <row r="34" spans="1:6" x14ac:dyDescent="0.25">
      <c r="A34">
        <v>25</v>
      </c>
      <c r="B34" s="1">
        <v>43529</v>
      </c>
      <c r="C34" s="2">
        <v>3.9699074074074072E-3</v>
      </c>
      <c r="D34">
        <v>20170005</v>
      </c>
      <c r="E34">
        <v>9</v>
      </c>
      <c r="F34" s="4">
        <f>5*3</f>
        <v>15</v>
      </c>
    </row>
    <row r="35" spans="1:6" x14ac:dyDescent="0.25">
      <c r="A35">
        <v>26</v>
      </c>
      <c r="B35" s="1">
        <v>43530</v>
      </c>
      <c r="C35" s="2">
        <v>2.3032407407407407E-3</v>
      </c>
      <c r="D35">
        <v>20170005</v>
      </c>
      <c r="E35">
        <v>8</v>
      </c>
      <c r="F35" s="4">
        <f>3*3</f>
        <v>9</v>
      </c>
    </row>
    <row r="36" spans="1:6" x14ac:dyDescent="0.25">
      <c r="A36">
        <v>39</v>
      </c>
      <c r="B36" s="1">
        <v>43531</v>
      </c>
      <c r="C36" s="2">
        <v>2.071759259259259E-2</v>
      </c>
      <c r="D36">
        <v>20170005</v>
      </c>
      <c r="E36">
        <v>1</v>
      </c>
      <c r="F36" s="4">
        <f>29*11.4</f>
        <v>330.6</v>
      </c>
    </row>
    <row r="37" spans="1:6" x14ac:dyDescent="0.25">
      <c r="A37">
        <v>38</v>
      </c>
      <c r="B37" s="1">
        <v>43531</v>
      </c>
      <c r="C37" s="2">
        <v>3.3333333333333333E-2</v>
      </c>
      <c r="D37">
        <v>20170005</v>
      </c>
      <c r="E37">
        <v>2</v>
      </c>
      <c r="F37" s="4">
        <f>48*6.4</f>
        <v>307.20000000000005</v>
      </c>
    </row>
    <row r="38" spans="1:6" x14ac:dyDescent="0.25">
      <c r="A38">
        <v>31</v>
      </c>
      <c r="B38" s="1">
        <v>43531</v>
      </c>
      <c r="C38" s="2">
        <v>6.9212962962962969E-3</v>
      </c>
      <c r="D38">
        <v>20170005</v>
      </c>
      <c r="E38">
        <v>7</v>
      </c>
      <c r="F38" s="4">
        <f>9*4.8</f>
        <v>43.199999999999996</v>
      </c>
    </row>
    <row r="39" spans="1:6" x14ac:dyDescent="0.25">
      <c r="A39">
        <v>44</v>
      </c>
      <c r="B39" s="1">
        <v>43532</v>
      </c>
      <c r="C39" s="2">
        <v>9.4560185185185181E-3</v>
      </c>
      <c r="D39">
        <v>20170005</v>
      </c>
      <c r="E39">
        <v>4</v>
      </c>
      <c r="F39" s="4">
        <f>13*8.6</f>
        <v>111.8</v>
      </c>
    </row>
    <row r="40" spans="1:6" x14ac:dyDescent="0.25">
      <c r="A40">
        <v>51</v>
      </c>
      <c r="B40" s="1">
        <v>43532</v>
      </c>
      <c r="C40" s="2">
        <v>1.275462962962963E-2</v>
      </c>
      <c r="D40">
        <v>20170005</v>
      </c>
      <c r="E40">
        <v>7</v>
      </c>
      <c r="F40" s="4">
        <f>18*4.8</f>
        <v>86.399999999999991</v>
      </c>
    </row>
    <row r="41" spans="1:6" x14ac:dyDescent="0.25">
      <c r="A41">
        <v>24</v>
      </c>
      <c r="B41" s="1">
        <v>43529</v>
      </c>
      <c r="C41" s="2">
        <v>9.7222222222222224E-3</v>
      </c>
      <c r="D41">
        <v>20170006</v>
      </c>
      <c r="E41">
        <v>7</v>
      </c>
      <c r="F41" s="4">
        <f>14*4.8</f>
        <v>67.2</v>
      </c>
    </row>
    <row r="42" spans="1:6" x14ac:dyDescent="0.25">
      <c r="A42">
        <v>27</v>
      </c>
      <c r="B42" s="1">
        <v>43530</v>
      </c>
      <c r="C42" s="2">
        <v>3.1620370370370368E-2</v>
      </c>
      <c r="D42">
        <v>20170006</v>
      </c>
      <c r="E42">
        <v>7</v>
      </c>
      <c r="F42" s="4">
        <f>45*4.8</f>
        <v>216</v>
      </c>
    </row>
    <row r="43" spans="1:6" x14ac:dyDescent="0.25">
      <c r="A43">
        <v>37</v>
      </c>
      <c r="B43" s="1">
        <v>43531</v>
      </c>
      <c r="C43" s="2">
        <v>2.0833333333333333E-3</v>
      </c>
      <c r="D43">
        <v>20170006</v>
      </c>
      <c r="E43">
        <v>6</v>
      </c>
      <c r="F43" s="4">
        <f>3*9.4</f>
        <v>28.200000000000003</v>
      </c>
    </row>
    <row r="44" spans="1:6" x14ac:dyDescent="0.25">
      <c r="A44">
        <v>40</v>
      </c>
      <c r="B44" s="1">
        <v>43531</v>
      </c>
      <c r="C44" s="2">
        <v>2.4432870370370369E-2</v>
      </c>
      <c r="D44">
        <v>20170006</v>
      </c>
      <c r="E44">
        <v>7</v>
      </c>
      <c r="F44" s="4">
        <f>35*4.8</f>
        <v>168</v>
      </c>
    </row>
    <row r="45" spans="1:6" x14ac:dyDescent="0.25">
      <c r="A45">
        <v>50</v>
      </c>
      <c r="B45" s="1">
        <v>43532</v>
      </c>
      <c r="C45" s="2">
        <v>1.0243055555555556E-2</v>
      </c>
      <c r="D45">
        <v>20170006</v>
      </c>
      <c r="E45">
        <v>4</v>
      </c>
      <c r="F45" s="4">
        <f>14*8.6</f>
        <v>120.39999999999999</v>
      </c>
    </row>
  </sheetData>
  <sortState ref="A2:F45">
    <sortCondition ref="D2:D45"/>
    <sortCondition ref="B2:B4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Burris</dc:creator>
  <cp:lastModifiedBy>Amy Burris</cp:lastModifiedBy>
  <dcterms:created xsi:type="dcterms:W3CDTF">2018-03-30T00:37:34Z</dcterms:created>
  <dcterms:modified xsi:type="dcterms:W3CDTF">2018-03-30T02:01:14Z</dcterms:modified>
</cp:coreProperties>
</file>