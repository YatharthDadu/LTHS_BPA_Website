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nnifer Vines\Documents\bpa testing\"/>
    </mc:Choice>
  </mc:AlternateContent>
  <bookViews>
    <workbookView xWindow="0" yWindow="0" windowWidth="20490" windowHeight="7155"/>
  </bookViews>
  <sheets>
    <sheet name="Sheet1" sheetId="1" r:id="rId1"/>
    <sheet name="Sales Breakdown" sheetId="2" r:id="rId2"/>
    <sheet name="Sheet3" sheetId="3" r:id="rId3"/>
  </sheets>
  <definedNames>
    <definedName name="Large_candy_sales_import_data" localSheetId="0">Sheet1!$A$19:$G$35</definedName>
    <definedName name="Largebox">Sheet1!$G$20:$G$35</definedName>
    <definedName name="_xlnm.Print_Area" localSheetId="0">Sheet1!$A$1:$G$36</definedName>
    <definedName name="SmallBox">Sheet1!$G$4:$G$19</definedName>
  </definedNames>
  <calcPr calcId="162913"/>
  <pivotCaches>
    <pivotCache cacheId="0" r:id="rId4"/>
  </pivotCaches>
</workbook>
</file>

<file path=xl/calcChain.xml><?xml version="1.0" encoding="utf-8"?>
<calcChain xmlns="http://schemas.openxmlformats.org/spreadsheetml/2006/main">
  <c r="G19" i="1" l="1"/>
  <c r="G26" i="1"/>
  <c r="G4" i="1"/>
  <c r="G11" i="1"/>
  <c r="G27" i="1"/>
  <c r="G5" i="1"/>
  <c r="G12" i="1"/>
  <c r="G28" i="1"/>
  <c r="G29" i="1"/>
  <c r="G20" i="1"/>
  <c r="G30" i="1"/>
  <c r="G13" i="1"/>
  <c r="G6" i="1"/>
  <c r="G21" i="1"/>
  <c r="G14" i="1"/>
  <c r="G25" i="1"/>
  <c r="G18" i="1"/>
  <c r="D22" i="1"/>
  <c r="D7" i="1"/>
  <c r="D31" i="1"/>
  <c r="D8" i="1"/>
  <c r="D32" i="1"/>
  <c r="D16" i="1"/>
  <c r="D23" i="1"/>
  <c r="D33" i="1"/>
  <c r="D9" i="1"/>
  <c r="D34" i="1"/>
  <c r="D17" i="1"/>
  <c r="D24" i="1"/>
  <c r="D35" i="1"/>
  <c r="D10" i="1"/>
  <c r="D18" i="1"/>
  <c r="D25" i="1"/>
  <c r="D19" i="1"/>
  <c r="D26" i="1"/>
  <c r="D4" i="1"/>
  <c r="D11" i="1"/>
  <c r="D27" i="1"/>
  <c r="D5" i="1"/>
  <c r="D12" i="1"/>
  <c r="D28" i="1"/>
  <c r="D29" i="1"/>
  <c r="D20" i="1"/>
  <c r="D30" i="1"/>
  <c r="D13" i="1"/>
  <c r="D6" i="1"/>
  <c r="D21" i="1"/>
  <c r="D14" i="1"/>
  <c r="D15" i="1"/>
  <c r="G15" i="1" l="1"/>
  <c r="G22" i="1"/>
  <c r="G7" i="1"/>
  <c r="G31" i="1"/>
  <c r="G8" i="1"/>
  <c r="G32" i="1"/>
  <c r="G16" i="1"/>
  <c r="G23" i="1"/>
  <c r="G33" i="1"/>
  <c r="G9" i="1"/>
  <c r="G34" i="1"/>
  <c r="G17" i="1"/>
  <c r="G24" i="1"/>
  <c r="G35" i="1"/>
  <c r="G10" i="1"/>
  <c r="G36" i="1" l="1"/>
</calcChain>
</file>

<file path=xl/connections.xml><?xml version="1.0" encoding="utf-8"?>
<connections xmlns="http://schemas.openxmlformats.org/spreadsheetml/2006/main">
  <connection id="1" name="Large candy sales import data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<sst xmlns="http://schemas.openxmlformats.org/spreadsheetml/2006/main" count="154" uniqueCount="78">
  <si>
    <t>CANDY SALES</t>
  </si>
  <si>
    <t>Sam</t>
  </si>
  <si>
    <t>Ann</t>
  </si>
  <si>
    <t>Laura</t>
  </si>
  <si>
    <t>Raul</t>
  </si>
  <si>
    <t>Iliana</t>
  </si>
  <si>
    <t>Victor</t>
  </si>
  <si>
    <t>Lindsey</t>
  </si>
  <si>
    <t>Maria</t>
  </si>
  <si>
    <t>Aracely</t>
  </si>
  <si>
    <t>Patrick</t>
  </si>
  <si>
    <t>Freddy</t>
  </si>
  <si>
    <t>Connie</t>
  </si>
  <si>
    <t>Brian</t>
  </si>
  <si>
    <t>William</t>
  </si>
  <si>
    <t>Diana</t>
  </si>
  <si>
    <t>SMALL BOX</t>
  </si>
  <si>
    <t>LARGE BOX</t>
  </si>
  <si>
    <t>TOTAL COLLECTED</t>
  </si>
  <si>
    <t>Adams</t>
  </si>
  <si>
    <t>Taylor</t>
  </si>
  <si>
    <t>Ingalls</t>
  </si>
  <si>
    <t>Villa</t>
  </si>
  <si>
    <t>Smith</t>
  </si>
  <si>
    <t>Garber</t>
  </si>
  <si>
    <t>Wagner</t>
  </si>
  <si>
    <t>Shriver</t>
  </si>
  <si>
    <t>Arambula</t>
  </si>
  <si>
    <t>Stewart</t>
  </si>
  <si>
    <t>Wong</t>
  </si>
  <si>
    <t>Sawyer</t>
  </si>
  <si>
    <t>Epstein</t>
  </si>
  <si>
    <t>Drayton Jr.</t>
  </si>
  <si>
    <t>King</t>
  </si>
  <si>
    <t>Larry</t>
  </si>
  <si>
    <t>David</t>
  </si>
  <si>
    <t>Teacher</t>
  </si>
  <si>
    <t>First Name</t>
  </si>
  <si>
    <t>Last Name</t>
  </si>
  <si>
    <t>Candy Size</t>
  </si>
  <si>
    <t>Quantity</t>
  </si>
  <si>
    <t>Purchase total</t>
  </si>
  <si>
    <t>Jones</t>
  </si>
  <si>
    <t>Talbut</t>
  </si>
  <si>
    <t>Campbell</t>
  </si>
  <si>
    <t>Vazquez</t>
  </si>
  <si>
    <t>Tracy</t>
  </si>
  <si>
    <t>Curry</t>
  </si>
  <si>
    <t>Robert</t>
  </si>
  <si>
    <t>Charles</t>
  </si>
  <si>
    <t>Adam</t>
  </si>
  <si>
    <t>Antler</t>
  </si>
  <si>
    <t>Joe</t>
  </si>
  <si>
    <t>Fillmore</t>
  </si>
  <si>
    <t>Margie</t>
  </si>
  <si>
    <t>Simpson</t>
  </si>
  <si>
    <t>Alexa</t>
  </si>
  <si>
    <t>Amzone</t>
  </si>
  <si>
    <t>Phillip</t>
  </si>
  <si>
    <t>Washington</t>
  </si>
  <si>
    <t>Frank</t>
  </si>
  <si>
    <t>Potter</t>
  </si>
  <si>
    <t>Charlotte</t>
  </si>
  <si>
    <t>Webster</t>
  </si>
  <si>
    <t>Brett</t>
  </si>
  <si>
    <t>Butters</t>
  </si>
  <si>
    <t>Willie</t>
  </si>
  <si>
    <t>Abbot</t>
  </si>
  <si>
    <t>Denise</t>
  </si>
  <si>
    <t>Amber</t>
  </si>
  <si>
    <t>London</t>
  </si>
  <si>
    <t>Bridgestone</t>
  </si>
  <si>
    <t>Small Cost</t>
  </si>
  <si>
    <t>Large Cost</t>
  </si>
  <si>
    <t>Name</t>
  </si>
  <si>
    <t>Grand Total</t>
  </si>
  <si>
    <t>Row Labels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</si>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</sst>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14"/>
      <color rgb="FF00B0F0"/>
      <name val="Times New Roman"/>
      <family val="1"/>
    </font>
    <font>
      <sz val="1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3" fillId="0" borderId="1" xfId="0" applyFont="1" applyBorder="1"/>
    <xf numFmtId="164" fontId="1" fillId="0" borderId="0" xfId="0" applyNumberFormat="1" applyFont="1"/>
    <xf numFmtId="0" fontId="1" fillId="0" borderId="0" xfId="0" applyFont="1" applyBorder="1"/>
    <xf numFmtId="164" fontId="1" fillId="0" borderId="0" xfId="0" applyNumberFormat="1" applyFont="1" applyBorder="1"/>
    <xf numFmtId="0" fontId="1" fillId="0" borderId="2" xfId="0" applyFont="1" applyBorder="1"/>
    <xf numFmtId="0" fontId="1" fillId="0" borderId="2" xfId="0" applyFont="1" applyBorder="1" applyAlignment="1">
      <alignment wrapText="1"/>
    </xf>
    <xf numFmtId="164" fontId="1" fillId="0" borderId="2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4" fillId="0" borderId="0" xfId="1" applyFont="1" applyFill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[candy sales key _ job 3.xlsm]Sales Breakdown!PivotTable1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'Sales Breakdown'!$B$1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multiLvlStrRef>
              <c:f>'Sales Breakdown'!$A$2:$A$14</c:f>
              <c:multiLvlStrCache>
                <c:ptCount val="8"/>
                <c:lvl>
                  <c:pt idx="0">
                    <c:v>LARGE BOX</c:v>
                  </c:pt>
                  <c:pt idx="1">
                    <c:v>SMALL BOX</c:v>
                  </c:pt>
                  <c:pt idx="2">
                    <c:v>LARGE BOX</c:v>
                  </c:pt>
                  <c:pt idx="3">
                    <c:v>SMALL BOX</c:v>
                  </c:pt>
                  <c:pt idx="4">
                    <c:v>LARGE BOX</c:v>
                  </c:pt>
                  <c:pt idx="5">
                    <c:v>SMALL BOX</c:v>
                  </c:pt>
                  <c:pt idx="6">
                    <c:v>LARGE BOX</c:v>
                  </c:pt>
                  <c:pt idx="7">
                    <c:v>SMALL BOX</c:v>
                  </c:pt>
                </c:lvl>
                <c:lvl>
                  <c:pt idx="0">
                    <c:v>Campbell</c:v>
                  </c:pt>
                  <c:pt idx="2">
                    <c:v>Jones</c:v>
                  </c:pt>
                  <c:pt idx="4">
                    <c:v>Talbut</c:v>
                  </c:pt>
                  <c:pt idx="6">
                    <c:v>Vazquez</c:v>
                  </c:pt>
                </c:lvl>
              </c:multiLvlStrCache>
            </c:multiLvlStrRef>
          </c:cat>
          <c:val>
            <c:numRef>
              <c:f>'Sales Breakdown'!$B$2:$B$14</c:f>
              <c:numCache>
                <c:formatCode>General</c:formatCode>
                <c:ptCount val="8"/>
                <c:pt idx="0">
                  <c:v>12</c:v>
                </c:pt>
                <c:pt idx="1">
                  <c:v>15</c:v>
                </c:pt>
                <c:pt idx="2">
                  <c:v>14</c:v>
                </c:pt>
                <c:pt idx="3">
                  <c:v>10</c:v>
                </c:pt>
                <c:pt idx="4">
                  <c:v>19</c:v>
                </c:pt>
                <c:pt idx="5">
                  <c:v>13</c:v>
                </c:pt>
                <c:pt idx="6">
                  <c:v>19</c:v>
                </c:pt>
                <c:pt idx="7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EB2-4D43-9E03-9A49A8EC0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419588832"/>
        <c:axId val="419589224"/>
        <c:axId val="0"/>
      </c:bar3DChart>
      <c:catAx>
        <c:axId val="419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89224"/>
        <c:crosses val="autoZero"/>
        <c:auto val="1"/>
        <c:lblAlgn val="ctr"/>
        <c:lblOffset val="100"/>
        <c:noMultiLvlLbl val="0"/>
      </c:catAx>
      <c:valAx>
        <c:axId val="4195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171450</xdr:rowOff>
    </xdr:from>
    <xdr:to>
      <xdr:col>12</xdr:col>
      <xdr:colOff>600075</xdr:colOff>
      <xdr:row>28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nnifer Vines" refreshedDate="43249.659497685185" createdVersion="6" refreshedVersion="6" minRefreshableVersion="3" recordCount="32">
  <cacheSource type="worksheet">
    <worksheetSource ref="A3:G35" sheet="Sheet1"/>
  </cacheSource>
  <cacheFields count="7">
    <cacheField name="Teacher" numFmtId="0">
      <sharedItems count="4">
        <s v="Campbell"/>
        <s v="Jones"/>
        <s v="Talbut"/>
        <s v="Vazquez"/>
      </sharedItems>
    </cacheField>
    <cacheField name="First Name" numFmtId="0">
      <sharedItems/>
    </cacheField>
    <cacheField name="Last Name" numFmtId="0">
      <sharedItems/>
    </cacheField>
    <cacheField name="Name" numFmtId="0">
      <sharedItems count="32">
        <s v="Robert Villa"/>
        <s v="Joe Fillmore"/>
        <s v="Willie Abbot"/>
        <s v="Laura Ingalls"/>
        <s v="Iliana Smith"/>
        <s v="Patrick Stewart"/>
        <s v="Diana King"/>
        <s v="Charles Smith"/>
        <s v="Margie Simpson"/>
        <s v="Brett Butters"/>
        <s v="London Bridgestone"/>
        <s v="Sam Adams"/>
        <s v="Lindsey Wagner"/>
        <s v="Connie Sawyer"/>
        <s v="Larry David"/>
        <s v="Ann Curry"/>
        <s v="Frank Potter"/>
        <s v="Denise Amber"/>
        <s v="Ann Taylor"/>
        <s v="Maria Shriver"/>
        <s v="Brian Epstein"/>
        <s v="Tracy Adams"/>
        <s v="Laura Smith"/>
        <s v="Adam Antler"/>
        <s v="Alexa Amzone"/>
        <s v="Phillip Washington"/>
        <s v="Charlotte Webster"/>
        <s v="Raul Villa"/>
        <s v="Victor Garber"/>
        <s v="Aracely Arambula"/>
        <s v="Freddy Wong"/>
        <s v="William Drayton Jr."/>
      </sharedItems>
    </cacheField>
    <cacheField name="Candy Size" numFmtId="0">
      <sharedItems count="2">
        <s v="LARGE BOX"/>
        <s v="SMALL BOX"/>
      </sharedItems>
    </cacheField>
    <cacheField name="Quantity" numFmtId="0">
      <sharedItems containsSemiMixedTypes="0" containsString="0" containsNumber="1" containsInteger="1" minValue="1" maxValue="8"/>
    </cacheField>
    <cacheField name="Purchase total" numFmtId="164">
      <sharedItems containsSemiMixedTypes="0" containsString="0" containsNumber="1" containsInteger="1" minValue="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s v="Robert"/>
    <s v="Villa"/>
    <x v="0"/>
    <x v="0"/>
    <n v="6"/>
    <n v="24"/>
  </r>
  <r>
    <x v="0"/>
    <s v="Joe"/>
    <s v="Fillmore"/>
    <x v="1"/>
    <x v="0"/>
    <n v="3"/>
    <n v="12"/>
  </r>
  <r>
    <x v="0"/>
    <s v="Willie"/>
    <s v="Abbot"/>
    <x v="2"/>
    <x v="0"/>
    <n v="3"/>
    <n v="12"/>
  </r>
  <r>
    <x v="0"/>
    <s v="Laura"/>
    <s v="Ingalls"/>
    <x v="3"/>
    <x v="1"/>
    <n v="5"/>
    <n v="10"/>
  </r>
  <r>
    <x v="0"/>
    <s v="Iliana"/>
    <s v="Smith"/>
    <x v="4"/>
    <x v="1"/>
    <n v="1"/>
    <n v="2"/>
  </r>
  <r>
    <x v="0"/>
    <s v="Patrick"/>
    <s v="Stewart"/>
    <x v="5"/>
    <x v="1"/>
    <n v="3"/>
    <n v="6"/>
  </r>
  <r>
    <x v="0"/>
    <s v="Diana"/>
    <s v="King"/>
    <x v="6"/>
    <x v="1"/>
    <n v="6"/>
    <n v="12"/>
  </r>
  <r>
    <x v="1"/>
    <s v="Charles"/>
    <s v="Smith"/>
    <x v="7"/>
    <x v="0"/>
    <n v="7"/>
    <n v="28"/>
  </r>
  <r>
    <x v="1"/>
    <s v="Margie"/>
    <s v="Simpson"/>
    <x v="8"/>
    <x v="0"/>
    <n v="1"/>
    <n v="4"/>
  </r>
  <r>
    <x v="1"/>
    <s v="Brett"/>
    <s v="Butters"/>
    <x v="9"/>
    <x v="0"/>
    <n v="2"/>
    <n v="8"/>
  </r>
  <r>
    <x v="1"/>
    <s v="London"/>
    <s v="Bridgestone"/>
    <x v="10"/>
    <x v="0"/>
    <n v="4"/>
    <n v="16"/>
  </r>
  <r>
    <x v="1"/>
    <s v="Sam"/>
    <s v="Adams"/>
    <x v="11"/>
    <x v="1"/>
    <n v="1"/>
    <n v="2"/>
  </r>
  <r>
    <x v="1"/>
    <s v="Lindsey"/>
    <s v="Wagner"/>
    <x v="12"/>
    <x v="1"/>
    <n v="3"/>
    <n v="6"/>
  </r>
  <r>
    <x v="1"/>
    <s v="Connie"/>
    <s v="Sawyer"/>
    <x v="13"/>
    <x v="1"/>
    <n v="2"/>
    <n v="4"/>
  </r>
  <r>
    <x v="1"/>
    <s v="Larry"/>
    <s v="David"/>
    <x v="14"/>
    <x v="1"/>
    <n v="4"/>
    <n v="8"/>
  </r>
  <r>
    <x v="2"/>
    <s v="Ann"/>
    <s v="Curry"/>
    <x v="15"/>
    <x v="0"/>
    <n v="5"/>
    <n v="20"/>
  </r>
  <r>
    <x v="2"/>
    <s v="Frank"/>
    <s v="Potter"/>
    <x v="16"/>
    <x v="0"/>
    <n v="8"/>
    <n v="32"/>
  </r>
  <r>
    <x v="2"/>
    <s v="Denise"/>
    <s v="Amber"/>
    <x v="17"/>
    <x v="0"/>
    <n v="6"/>
    <n v="24"/>
  </r>
  <r>
    <x v="2"/>
    <s v="Ann"/>
    <s v="Taylor"/>
    <x v="18"/>
    <x v="1"/>
    <n v="3"/>
    <n v="6"/>
  </r>
  <r>
    <x v="2"/>
    <s v="Maria"/>
    <s v="Shriver"/>
    <x v="19"/>
    <x v="1"/>
    <n v="2"/>
    <n v="4"/>
  </r>
  <r>
    <x v="2"/>
    <s v="Brian"/>
    <s v="Epstein"/>
    <x v="20"/>
    <x v="1"/>
    <n v="8"/>
    <n v="16"/>
  </r>
  <r>
    <x v="3"/>
    <s v="Tracy"/>
    <s v="Adams"/>
    <x v="21"/>
    <x v="0"/>
    <n v="4"/>
    <n v="16"/>
  </r>
  <r>
    <x v="3"/>
    <s v="Laura"/>
    <s v="Smith"/>
    <x v="22"/>
    <x v="0"/>
    <n v="1"/>
    <n v="4"/>
  </r>
  <r>
    <x v="3"/>
    <s v="Adam"/>
    <s v="Antler"/>
    <x v="23"/>
    <x v="0"/>
    <n v="4"/>
    <n v="16"/>
  </r>
  <r>
    <x v="3"/>
    <s v="Alexa"/>
    <s v="Amzone"/>
    <x v="24"/>
    <x v="0"/>
    <n v="2"/>
    <n v="8"/>
  </r>
  <r>
    <x v="3"/>
    <s v="Phillip"/>
    <s v="Washington"/>
    <x v="25"/>
    <x v="0"/>
    <n v="3"/>
    <n v="12"/>
  </r>
  <r>
    <x v="3"/>
    <s v="Charlotte"/>
    <s v="Webster"/>
    <x v="26"/>
    <x v="0"/>
    <n v="5"/>
    <n v="20"/>
  </r>
  <r>
    <x v="3"/>
    <s v="Raul"/>
    <s v="Villa"/>
    <x v="27"/>
    <x v="1"/>
    <n v="2"/>
    <n v="4"/>
  </r>
  <r>
    <x v="3"/>
    <s v="Victor"/>
    <s v="Garber"/>
    <x v="28"/>
    <x v="1"/>
    <n v="4"/>
    <n v="8"/>
  </r>
  <r>
    <x v="3"/>
    <s v="Aracely"/>
    <s v="Arambula"/>
    <x v="29"/>
    <x v="1"/>
    <n v="5"/>
    <n v="10"/>
  </r>
  <r>
    <x v="3"/>
    <s v="Freddy"/>
    <s v="Wong"/>
    <x v="30"/>
    <x v="1"/>
    <n v="1"/>
    <n v="2"/>
  </r>
  <r>
    <x v="3"/>
    <s v="William"/>
    <s v="Drayton Jr."/>
    <x v="31"/>
    <x v="1"/>
    <n v="7"/>
    <n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1:B14" firstHeaderRow="1" firstDataRow="1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33">
        <item x="23"/>
        <item x="24"/>
        <item x="15"/>
        <item x="18"/>
        <item x="29"/>
        <item x="9"/>
        <item x="20"/>
        <item x="7"/>
        <item x="26"/>
        <item x="13"/>
        <item x="17"/>
        <item x="6"/>
        <item x="16"/>
        <item x="30"/>
        <item x="4"/>
        <item x="1"/>
        <item x="14"/>
        <item x="3"/>
        <item x="22"/>
        <item x="12"/>
        <item x="10"/>
        <item x="8"/>
        <item x="19"/>
        <item x="5"/>
        <item x="25"/>
        <item x="27"/>
        <item x="0"/>
        <item x="11"/>
        <item x="21"/>
        <item x="28"/>
        <item x="31"/>
        <item x="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numFmtId="164" showAll="0"/>
  </pivotFields>
  <rowFields count="2">
    <field x="0"/>
    <field x="4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Items count="1">
    <i/>
  </colItems>
  <dataFields count="1">
    <dataField name="Sum of Quantity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arge candy sales import data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36"/>
  <sheetViews>
    <sheetView tabSelected="1" zoomScaleNormal="100" workbookViewId="0">
      <selection activeCell="I9" sqref="I9"/>
    </sheetView>
  </sheetViews>
  <sheetFormatPr defaultRowHeight="15" x14ac:dyDescent="0.25"/>
  <cols>
    <col min="1" max="1" width="11" style="1" customWidth="1"/>
    <col min="2" max="2" width="13.140625" style="1" hidden="1" customWidth="1"/>
    <col min="3" max="3" width="14.7109375" style="1" hidden="1" customWidth="1"/>
    <col min="4" max="4" width="18.140625" style="1" bestFit="1" customWidth="1"/>
    <col min="5" max="5" width="18.140625" style="1" customWidth="1"/>
    <col min="6" max="6" width="13.28515625" style="1" customWidth="1"/>
    <col min="7" max="7" width="21.42578125" style="1" customWidth="1"/>
    <col min="8" max="8" width="23.42578125" style="1" customWidth="1"/>
    <col min="9" max="9" width="20.85546875" style="1" bestFit="1" customWidth="1"/>
    <col min="10" max="10" width="12.85546875" style="1" customWidth="1"/>
    <col min="11" max="16384" width="9.140625" style="1"/>
  </cols>
  <sheetData>
    <row r="1" spans="1:10" ht="20.100000000000001" customHeight="1" x14ac:dyDescent="0.35">
      <c r="A1" s="13" t="s">
        <v>0</v>
      </c>
      <c r="B1" s="13"/>
      <c r="C1" s="13"/>
      <c r="D1" s="13"/>
      <c r="E1" s="13"/>
      <c r="F1" s="13"/>
      <c r="G1" s="13"/>
    </row>
    <row r="2" spans="1:10" ht="16.5" customHeight="1" x14ac:dyDescent="0.25">
      <c r="D2" s="1" t="s">
        <v>72</v>
      </c>
      <c r="E2" s="3">
        <v>2</v>
      </c>
      <c r="F2" s="1" t="s">
        <v>73</v>
      </c>
      <c r="G2" s="3">
        <v>4</v>
      </c>
    </row>
    <row r="3" spans="1:10" ht="19.5" thickBot="1" x14ac:dyDescent="0.35">
      <c r="A3" s="2" t="s">
        <v>36</v>
      </c>
      <c r="B3" s="2" t="s">
        <v>37</v>
      </c>
      <c r="C3" s="2" t="s">
        <v>38</v>
      </c>
      <c r="D3" s="2" t="s">
        <v>74</v>
      </c>
      <c r="E3" s="2" t="s">
        <v>39</v>
      </c>
      <c r="F3" s="2" t="s">
        <v>40</v>
      </c>
      <c r="G3" s="2" t="s">
        <v>41</v>
      </c>
    </row>
    <row r="4" spans="1:10" x14ac:dyDescent="0.25">
      <c r="A4" s="1" t="s">
        <v>44</v>
      </c>
      <c r="B4" s="1" t="s">
        <v>48</v>
      </c>
      <c r="C4" s="1" t="s">
        <v>22</v>
      </c>
      <c r="D4" s="1" t="str">
        <f t="shared" ref="D4:D10" si="0">CONCATENATE(B4," ",C4)</f>
        <v>Robert Villa</v>
      </c>
      <c r="E4" s="1" t="s">
        <v>17</v>
      </c>
      <c r="F4" s="1">
        <v>6</v>
      </c>
      <c r="G4" s="3">
        <f>F4*$G$2</f>
        <v>24</v>
      </c>
    </row>
    <row r="5" spans="1:10" x14ac:dyDescent="0.25">
      <c r="A5" s="1" t="s">
        <v>44</v>
      </c>
      <c r="B5" s="1" t="s">
        <v>52</v>
      </c>
      <c r="C5" s="1" t="s">
        <v>53</v>
      </c>
      <c r="D5" s="1" t="str">
        <f t="shared" si="0"/>
        <v>Joe Fillmore</v>
      </c>
      <c r="E5" s="1" t="s">
        <v>17</v>
      </c>
      <c r="F5" s="1">
        <v>3</v>
      </c>
      <c r="G5" s="3">
        <f>F5*$G$2</f>
        <v>12</v>
      </c>
    </row>
    <row r="6" spans="1:10" x14ac:dyDescent="0.25">
      <c r="A6" s="1" t="s">
        <v>44</v>
      </c>
      <c r="B6" s="1" t="s">
        <v>66</v>
      </c>
      <c r="C6" s="1" t="s">
        <v>67</v>
      </c>
      <c r="D6" s="1" t="str">
        <f t="shared" si="0"/>
        <v>Willie Abbot</v>
      </c>
      <c r="E6" s="1" t="s">
        <v>17</v>
      </c>
      <c r="F6" s="1">
        <v>3</v>
      </c>
      <c r="G6" s="3">
        <f>F6*$G$2</f>
        <v>12</v>
      </c>
    </row>
    <row r="7" spans="1:10" x14ac:dyDescent="0.25">
      <c r="A7" s="1" t="s">
        <v>44</v>
      </c>
      <c r="B7" s="1" t="s">
        <v>3</v>
      </c>
      <c r="C7" s="1" t="s">
        <v>21</v>
      </c>
      <c r="D7" s="1" t="str">
        <f t="shared" si="0"/>
        <v>Laura Ingalls</v>
      </c>
      <c r="E7" s="1" t="s">
        <v>16</v>
      </c>
      <c r="F7" s="1">
        <v>5</v>
      </c>
      <c r="G7" s="3">
        <f>F7*$E$2</f>
        <v>10</v>
      </c>
    </row>
    <row r="8" spans="1:10" x14ac:dyDescent="0.25">
      <c r="A8" s="1" t="s">
        <v>44</v>
      </c>
      <c r="B8" s="1" t="s">
        <v>5</v>
      </c>
      <c r="C8" s="1" t="s">
        <v>23</v>
      </c>
      <c r="D8" s="1" t="str">
        <f t="shared" si="0"/>
        <v>Iliana Smith</v>
      </c>
      <c r="E8" s="1" t="s">
        <v>16</v>
      </c>
      <c r="F8" s="1">
        <v>1</v>
      </c>
      <c r="G8" s="3">
        <f>F8*$E$2</f>
        <v>2</v>
      </c>
    </row>
    <row r="9" spans="1:10" x14ac:dyDescent="0.25">
      <c r="A9" s="1" t="s">
        <v>44</v>
      </c>
      <c r="B9" s="1" t="s">
        <v>10</v>
      </c>
      <c r="C9" s="1" t="s">
        <v>28</v>
      </c>
      <c r="D9" s="1" t="str">
        <f t="shared" si="0"/>
        <v>Patrick Stewart</v>
      </c>
      <c r="E9" s="1" t="s">
        <v>16</v>
      </c>
      <c r="F9" s="1">
        <v>3</v>
      </c>
      <c r="G9" s="3">
        <f>F9*$E$2</f>
        <v>6</v>
      </c>
    </row>
    <row r="10" spans="1:10" x14ac:dyDescent="0.25">
      <c r="A10" s="1" t="s">
        <v>44</v>
      </c>
      <c r="B10" s="1" t="s">
        <v>15</v>
      </c>
      <c r="C10" s="1" t="s">
        <v>33</v>
      </c>
      <c r="D10" s="1" t="str">
        <f t="shared" si="0"/>
        <v>Diana King</v>
      </c>
      <c r="E10" s="1" t="s">
        <v>16</v>
      </c>
      <c r="F10" s="1">
        <v>6</v>
      </c>
      <c r="G10" s="3">
        <f>F10*$E$2</f>
        <v>12</v>
      </c>
      <c r="I10"/>
    </row>
    <row r="11" spans="1:10" x14ac:dyDescent="0.25">
      <c r="A11" s="1" t="s">
        <v>42</v>
      </c>
      <c r="B11" s="1" t="s">
        <v>49</v>
      </c>
      <c r="C11" s="1" t="s">
        <v>23</v>
      </c>
      <c r="D11" s="1" t="str">
        <f t="shared" ref="D11:D18" si="1">CONCATENATE(B11," ",C11)</f>
        <v>Charles Smith</v>
      </c>
      <c r="E11" s="1" t="s">
        <v>17</v>
      </c>
      <c r="F11" s="1">
        <v>7</v>
      </c>
      <c r="G11" s="3">
        <f>F11*$G$2</f>
        <v>28</v>
      </c>
    </row>
    <row r="12" spans="1:10" x14ac:dyDescent="0.25">
      <c r="A12" s="1" t="s">
        <v>42</v>
      </c>
      <c r="B12" s="1" t="s">
        <v>54</v>
      </c>
      <c r="C12" s="1" t="s">
        <v>55</v>
      </c>
      <c r="D12" s="1" t="str">
        <f t="shared" si="1"/>
        <v>Margie Simpson</v>
      </c>
      <c r="E12" s="1" t="s">
        <v>17</v>
      </c>
      <c r="F12" s="1">
        <v>1</v>
      </c>
      <c r="G12" s="3">
        <f>F12*$G$2</f>
        <v>4</v>
      </c>
    </row>
    <row r="13" spans="1:10" x14ac:dyDescent="0.25">
      <c r="A13" s="1" t="s">
        <v>42</v>
      </c>
      <c r="B13" s="1" t="s">
        <v>64</v>
      </c>
      <c r="C13" s="1" t="s">
        <v>65</v>
      </c>
      <c r="D13" s="1" t="str">
        <f t="shared" si="1"/>
        <v>Brett Butters</v>
      </c>
      <c r="E13" s="1" t="s">
        <v>17</v>
      </c>
      <c r="F13" s="1">
        <v>2</v>
      </c>
      <c r="G13" s="3">
        <f>F13*$G$2</f>
        <v>8</v>
      </c>
    </row>
    <row r="14" spans="1:10" x14ac:dyDescent="0.25">
      <c r="A14" s="4" t="s">
        <v>42</v>
      </c>
      <c r="B14" s="4" t="s">
        <v>70</v>
      </c>
      <c r="C14" s="4" t="s">
        <v>71</v>
      </c>
      <c r="D14" s="4" t="str">
        <f t="shared" si="1"/>
        <v>London Bridgestone</v>
      </c>
      <c r="E14" s="4" t="s">
        <v>17</v>
      </c>
      <c r="F14" s="4">
        <v>4</v>
      </c>
      <c r="G14" s="5">
        <f>F14*$G$2</f>
        <v>16</v>
      </c>
    </row>
    <row r="15" spans="1:10" x14ac:dyDescent="0.25">
      <c r="A15" s="1" t="s">
        <v>42</v>
      </c>
      <c r="B15" s="1" t="s">
        <v>1</v>
      </c>
      <c r="C15" s="1" t="s">
        <v>19</v>
      </c>
      <c r="D15" s="1" t="str">
        <f t="shared" si="1"/>
        <v>Sam Adams</v>
      </c>
      <c r="E15" s="1" t="s">
        <v>16</v>
      </c>
      <c r="F15" s="1">
        <v>1</v>
      </c>
      <c r="G15" s="3">
        <f>F15*$E$2</f>
        <v>2</v>
      </c>
      <c r="J15"/>
    </row>
    <row r="16" spans="1:10" x14ac:dyDescent="0.25">
      <c r="A16" s="1" t="s">
        <v>42</v>
      </c>
      <c r="B16" s="1" t="s">
        <v>7</v>
      </c>
      <c r="C16" s="1" t="s">
        <v>25</v>
      </c>
      <c r="D16" s="1" t="str">
        <f t="shared" si="1"/>
        <v>Lindsey Wagner</v>
      </c>
      <c r="E16" s="1" t="s">
        <v>16</v>
      </c>
      <c r="F16" s="1">
        <v>3</v>
      </c>
      <c r="G16" s="3">
        <f>F16*$E$2</f>
        <v>6</v>
      </c>
    </row>
    <row r="17" spans="1:7" x14ac:dyDescent="0.25">
      <c r="A17" s="1" t="s">
        <v>42</v>
      </c>
      <c r="B17" s="1" t="s">
        <v>12</v>
      </c>
      <c r="C17" s="1" t="s">
        <v>30</v>
      </c>
      <c r="D17" s="1" t="str">
        <f t="shared" si="1"/>
        <v>Connie Sawyer</v>
      </c>
      <c r="E17" s="1" t="s">
        <v>16</v>
      </c>
      <c r="F17" s="1">
        <v>2</v>
      </c>
      <c r="G17" s="3">
        <f>F17*$E$2</f>
        <v>4</v>
      </c>
    </row>
    <row r="18" spans="1:7" x14ac:dyDescent="0.25">
      <c r="A18" s="1" t="s">
        <v>42</v>
      </c>
      <c r="B18" s="1" t="s">
        <v>34</v>
      </c>
      <c r="C18" s="1" t="s">
        <v>35</v>
      </c>
      <c r="D18" s="1" t="str">
        <f t="shared" si="1"/>
        <v>Larry David</v>
      </c>
      <c r="E18" s="1" t="s">
        <v>16</v>
      </c>
      <c r="F18" s="1">
        <v>4</v>
      </c>
      <c r="G18" s="3">
        <f>F18*$E$2</f>
        <v>8</v>
      </c>
    </row>
    <row r="19" spans="1:7" x14ac:dyDescent="0.25">
      <c r="A19" s="1" t="s">
        <v>43</v>
      </c>
      <c r="B19" s="1" t="s">
        <v>2</v>
      </c>
      <c r="C19" s="1" t="s">
        <v>47</v>
      </c>
      <c r="D19" s="1" t="str">
        <f t="shared" ref="D19:D24" si="2">CONCATENATE(B19," ",C19)</f>
        <v>Ann Curry</v>
      </c>
      <c r="E19" s="1" t="s">
        <v>17</v>
      </c>
      <c r="F19" s="1">
        <v>5</v>
      </c>
      <c r="G19" s="3">
        <f>F19*$G$2</f>
        <v>20</v>
      </c>
    </row>
    <row r="20" spans="1:7" x14ac:dyDescent="0.25">
      <c r="A20" s="1" t="s">
        <v>43</v>
      </c>
      <c r="B20" s="1" t="s">
        <v>60</v>
      </c>
      <c r="C20" s="1" t="s">
        <v>61</v>
      </c>
      <c r="D20" s="1" t="str">
        <f t="shared" si="2"/>
        <v>Frank Potter</v>
      </c>
      <c r="E20" s="1" t="s">
        <v>17</v>
      </c>
      <c r="F20" s="1">
        <v>8</v>
      </c>
      <c r="G20" s="3">
        <f>F20*$G$2</f>
        <v>32</v>
      </c>
    </row>
    <row r="21" spans="1:7" x14ac:dyDescent="0.25">
      <c r="A21" s="1" t="s">
        <v>43</v>
      </c>
      <c r="B21" s="1" t="s">
        <v>68</v>
      </c>
      <c r="C21" s="1" t="s">
        <v>69</v>
      </c>
      <c r="D21" s="1" t="str">
        <f t="shared" si="2"/>
        <v>Denise Amber</v>
      </c>
      <c r="E21" s="1" t="s">
        <v>17</v>
      </c>
      <c r="F21" s="1">
        <v>6</v>
      </c>
      <c r="G21" s="3">
        <f>F21*$G$2</f>
        <v>24</v>
      </c>
    </row>
    <row r="22" spans="1:7" x14ac:dyDescent="0.25">
      <c r="A22" s="1" t="s">
        <v>43</v>
      </c>
      <c r="B22" s="1" t="s">
        <v>2</v>
      </c>
      <c r="C22" s="1" t="s">
        <v>20</v>
      </c>
      <c r="D22" s="1" t="str">
        <f t="shared" si="2"/>
        <v>Ann Taylor</v>
      </c>
      <c r="E22" s="1" t="s">
        <v>16</v>
      </c>
      <c r="F22" s="1">
        <v>3</v>
      </c>
      <c r="G22" s="3">
        <f>F22*$E$2</f>
        <v>6</v>
      </c>
    </row>
    <row r="23" spans="1:7" x14ac:dyDescent="0.25">
      <c r="A23" s="1" t="s">
        <v>43</v>
      </c>
      <c r="B23" s="1" t="s">
        <v>8</v>
      </c>
      <c r="C23" s="1" t="s">
        <v>26</v>
      </c>
      <c r="D23" s="1" t="str">
        <f t="shared" si="2"/>
        <v>Maria Shriver</v>
      </c>
      <c r="E23" s="1" t="s">
        <v>16</v>
      </c>
      <c r="F23" s="1">
        <v>2</v>
      </c>
      <c r="G23" s="3">
        <f>F23*$E$2</f>
        <v>4</v>
      </c>
    </row>
    <row r="24" spans="1:7" x14ac:dyDescent="0.25">
      <c r="A24" s="1" t="s">
        <v>43</v>
      </c>
      <c r="B24" s="1" t="s">
        <v>13</v>
      </c>
      <c r="C24" s="1" t="s">
        <v>31</v>
      </c>
      <c r="D24" s="1" t="str">
        <f t="shared" si="2"/>
        <v>Brian Epstein</v>
      </c>
      <c r="E24" s="1" t="s">
        <v>16</v>
      </c>
      <c r="F24" s="1">
        <v>8</v>
      </c>
      <c r="G24" s="3">
        <f>F24*$E$2</f>
        <v>16</v>
      </c>
    </row>
    <row r="25" spans="1:7" x14ac:dyDescent="0.25">
      <c r="A25" s="1" t="s">
        <v>45</v>
      </c>
      <c r="B25" s="1" t="s">
        <v>46</v>
      </c>
      <c r="C25" s="1" t="s">
        <v>19</v>
      </c>
      <c r="D25" s="1" t="str">
        <f t="shared" ref="D25:D35" si="3">CONCATENATE(B25," ",C25)</f>
        <v>Tracy Adams</v>
      </c>
      <c r="E25" s="1" t="s">
        <v>17</v>
      </c>
      <c r="F25" s="1">
        <v>4</v>
      </c>
      <c r="G25" s="3">
        <f t="shared" ref="G25:G30" si="4">F25*$G$2</f>
        <v>16</v>
      </c>
    </row>
    <row r="26" spans="1:7" x14ac:dyDescent="0.25">
      <c r="A26" s="1" t="s">
        <v>45</v>
      </c>
      <c r="B26" s="1" t="s">
        <v>3</v>
      </c>
      <c r="C26" s="1" t="s">
        <v>23</v>
      </c>
      <c r="D26" s="1" t="str">
        <f t="shared" si="3"/>
        <v>Laura Smith</v>
      </c>
      <c r="E26" s="1" t="s">
        <v>17</v>
      </c>
      <c r="F26" s="1">
        <v>1</v>
      </c>
      <c r="G26" s="3">
        <f t="shared" si="4"/>
        <v>4</v>
      </c>
    </row>
    <row r="27" spans="1:7" x14ac:dyDescent="0.25">
      <c r="A27" s="1" t="s">
        <v>45</v>
      </c>
      <c r="B27" s="1" t="s">
        <v>50</v>
      </c>
      <c r="C27" s="1" t="s">
        <v>51</v>
      </c>
      <c r="D27" s="1" t="str">
        <f t="shared" si="3"/>
        <v>Adam Antler</v>
      </c>
      <c r="E27" s="1" t="s">
        <v>17</v>
      </c>
      <c r="F27" s="1">
        <v>4</v>
      </c>
      <c r="G27" s="3">
        <f t="shared" si="4"/>
        <v>16</v>
      </c>
    </row>
    <row r="28" spans="1:7" x14ac:dyDescent="0.25">
      <c r="A28" s="1" t="s">
        <v>45</v>
      </c>
      <c r="B28" s="1" t="s">
        <v>56</v>
      </c>
      <c r="C28" s="1" t="s">
        <v>57</v>
      </c>
      <c r="D28" s="1" t="str">
        <f t="shared" si="3"/>
        <v>Alexa Amzone</v>
      </c>
      <c r="E28" s="1" t="s">
        <v>17</v>
      </c>
      <c r="F28" s="1">
        <v>2</v>
      </c>
      <c r="G28" s="3">
        <f t="shared" si="4"/>
        <v>8</v>
      </c>
    </row>
    <row r="29" spans="1:7" x14ac:dyDescent="0.25">
      <c r="A29" s="1" t="s">
        <v>45</v>
      </c>
      <c r="B29" s="1" t="s">
        <v>58</v>
      </c>
      <c r="C29" s="1" t="s">
        <v>59</v>
      </c>
      <c r="D29" s="1" t="str">
        <f t="shared" si="3"/>
        <v>Phillip Washington</v>
      </c>
      <c r="E29" s="1" t="s">
        <v>17</v>
      </c>
      <c r="F29" s="1">
        <v>3</v>
      </c>
      <c r="G29" s="3">
        <f t="shared" si="4"/>
        <v>12</v>
      </c>
    </row>
    <row r="30" spans="1:7" x14ac:dyDescent="0.25">
      <c r="A30" s="1" t="s">
        <v>45</v>
      </c>
      <c r="B30" s="1" t="s">
        <v>62</v>
      </c>
      <c r="C30" s="1" t="s">
        <v>63</v>
      </c>
      <c r="D30" s="1" t="str">
        <f t="shared" si="3"/>
        <v>Charlotte Webster</v>
      </c>
      <c r="E30" s="1" t="s">
        <v>17</v>
      </c>
      <c r="F30" s="1">
        <v>5</v>
      </c>
      <c r="G30" s="3">
        <f t="shared" si="4"/>
        <v>20</v>
      </c>
    </row>
    <row r="31" spans="1:7" x14ac:dyDescent="0.25">
      <c r="A31" s="1" t="s">
        <v>45</v>
      </c>
      <c r="B31" s="1" t="s">
        <v>4</v>
      </c>
      <c r="C31" s="1" t="s">
        <v>22</v>
      </c>
      <c r="D31" s="1" t="str">
        <f t="shared" si="3"/>
        <v>Raul Villa</v>
      </c>
      <c r="E31" s="1" t="s">
        <v>16</v>
      </c>
      <c r="F31" s="1">
        <v>2</v>
      </c>
      <c r="G31" s="3">
        <f>F31*$E$2</f>
        <v>4</v>
      </c>
    </row>
    <row r="32" spans="1:7" x14ac:dyDescent="0.25">
      <c r="A32" s="1" t="s">
        <v>45</v>
      </c>
      <c r="B32" s="1" t="s">
        <v>6</v>
      </c>
      <c r="C32" s="1" t="s">
        <v>24</v>
      </c>
      <c r="D32" s="1" t="str">
        <f t="shared" si="3"/>
        <v>Victor Garber</v>
      </c>
      <c r="E32" s="1" t="s">
        <v>16</v>
      </c>
      <c r="F32" s="1">
        <v>4</v>
      </c>
      <c r="G32" s="3">
        <f>F32*$E$2</f>
        <v>8</v>
      </c>
    </row>
    <row r="33" spans="1:7" x14ac:dyDescent="0.25">
      <c r="A33" s="1" t="s">
        <v>45</v>
      </c>
      <c r="B33" s="1" t="s">
        <v>9</v>
      </c>
      <c r="C33" s="1" t="s">
        <v>27</v>
      </c>
      <c r="D33" s="1" t="str">
        <f t="shared" si="3"/>
        <v>Aracely Arambula</v>
      </c>
      <c r="E33" s="1" t="s">
        <v>16</v>
      </c>
      <c r="F33" s="1">
        <v>5</v>
      </c>
      <c r="G33" s="3">
        <f>F33*$E$2</f>
        <v>10</v>
      </c>
    </row>
    <row r="34" spans="1:7" x14ac:dyDescent="0.25">
      <c r="A34" s="1" t="s">
        <v>45</v>
      </c>
      <c r="B34" s="1" t="s">
        <v>11</v>
      </c>
      <c r="C34" s="1" t="s">
        <v>29</v>
      </c>
      <c r="D34" s="1" t="str">
        <f t="shared" si="3"/>
        <v>Freddy Wong</v>
      </c>
      <c r="E34" s="1" t="s">
        <v>16</v>
      </c>
      <c r="F34" s="1">
        <v>1</v>
      </c>
      <c r="G34" s="3">
        <f>F34*$E$2</f>
        <v>2</v>
      </c>
    </row>
    <row r="35" spans="1:7" ht="15.75" thickBot="1" x14ac:dyDescent="0.3">
      <c r="A35" s="4" t="s">
        <v>45</v>
      </c>
      <c r="B35" s="4" t="s">
        <v>14</v>
      </c>
      <c r="C35" s="4" t="s">
        <v>32</v>
      </c>
      <c r="D35" s="4" t="str">
        <f t="shared" si="3"/>
        <v>William Drayton Jr.</v>
      </c>
      <c r="E35" s="4" t="s">
        <v>16</v>
      </c>
      <c r="F35" s="4">
        <v>7</v>
      </c>
      <c r="G35" s="5">
        <f>F35*$E$2</f>
        <v>14</v>
      </c>
    </row>
    <row r="36" spans="1:7" ht="45.75" thickTop="1" x14ac:dyDescent="0.25">
      <c r="A36" s="6"/>
      <c r="B36" s="6"/>
      <c r="C36" s="6"/>
      <c r="D36" s="6"/>
      <c r="E36" s="6"/>
      <c r="F36" s="7" t="s">
        <v>18</v>
      </c>
      <c r="G36" s="8">
        <f>SUM(G4:G35)</f>
        <v>370</v>
      </c>
    </row>
  </sheetData>
  <sortState ref="A4:G35">
    <sortCondition ref="A4:A35"/>
    <sortCondition ref="E4:E35"/>
  </sortState>
  <dataConsolidate/>
  <mergeCells count="1">
    <mergeCell ref="A1:G1"/>
  </mergeCells>
  <pageMargins left="0.25" right="0.25" top="0.5" bottom="0.5" header="0.3" footer="0.3"/>
  <pageSetup scale="8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14"/>
  <sheetViews>
    <sheetView topLeftCell="A10" workbookViewId="0">
      <selection activeCell="E30" sqref="E30"/>
    </sheetView>
  </sheetViews>
  <sheetFormatPr defaultRowHeight="15" x14ac:dyDescent="0.25"/>
  <cols>
    <col min="1" max="1" width="14.5703125" customWidth="1"/>
    <col min="2" max="2" width="15.42578125" bestFit="1" customWidth="1"/>
    <col min="3" max="3" width="20.42578125" bestFit="1" customWidth="1"/>
  </cols>
  <sheetData>
    <row r="1" spans="1:2" x14ac:dyDescent="0.25">
      <c r="A1" s="9" t="s">
        <v>76</v>
      </c>
      <c r="B1" t="s">
        <v>77</v>
      </c>
    </row>
    <row r="2" spans="1:2" x14ac:dyDescent="0.25">
      <c r="A2" s="10" t="s">
        <v>44</v>
      </c>
      <c r="B2" s="12">
        <v>27</v>
      </c>
    </row>
    <row r="3" spans="1:2" x14ac:dyDescent="0.25">
      <c r="A3" s="11" t="s">
        <v>17</v>
      </c>
      <c r="B3" s="12">
        <v>12</v>
      </c>
    </row>
    <row r="4" spans="1:2" x14ac:dyDescent="0.25">
      <c r="A4" s="11" t="s">
        <v>16</v>
      </c>
      <c r="B4" s="12">
        <v>15</v>
      </c>
    </row>
    <row r="5" spans="1:2" x14ac:dyDescent="0.25">
      <c r="A5" s="10" t="s">
        <v>42</v>
      </c>
      <c r="B5" s="12">
        <v>24</v>
      </c>
    </row>
    <row r="6" spans="1:2" x14ac:dyDescent="0.25">
      <c r="A6" s="11" t="s">
        <v>17</v>
      </c>
      <c r="B6" s="12">
        <v>14</v>
      </c>
    </row>
    <row r="7" spans="1:2" x14ac:dyDescent="0.25">
      <c r="A7" s="11" t="s">
        <v>16</v>
      </c>
      <c r="B7" s="12">
        <v>10</v>
      </c>
    </row>
    <row r="8" spans="1:2" x14ac:dyDescent="0.25">
      <c r="A8" s="10" t="s">
        <v>43</v>
      </c>
      <c r="B8" s="12">
        <v>32</v>
      </c>
    </row>
    <row r="9" spans="1:2" x14ac:dyDescent="0.25">
      <c r="A9" s="11" t="s">
        <v>17</v>
      </c>
      <c r="B9" s="12">
        <v>19</v>
      </c>
    </row>
    <row r="10" spans="1:2" x14ac:dyDescent="0.25">
      <c r="A10" s="11" t="s">
        <v>16</v>
      </c>
      <c r="B10" s="12">
        <v>13</v>
      </c>
    </row>
    <row r="11" spans="1:2" x14ac:dyDescent="0.25">
      <c r="A11" s="10" t="s">
        <v>45</v>
      </c>
      <c r="B11" s="12">
        <v>38</v>
      </c>
    </row>
    <row r="12" spans="1:2" x14ac:dyDescent="0.25">
      <c r="A12" s="11" t="s">
        <v>17</v>
      </c>
      <c r="B12" s="12">
        <v>19</v>
      </c>
    </row>
    <row r="13" spans="1:2" x14ac:dyDescent="0.25">
      <c r="A13" s="11" t="s">
        <v>16</v>
      </c>
      <c r="B13" s="12">
        <v>19</v>
      </c>
    </row>
    <row r="14" spans="1:2" x14ac:dyDescent="0.25">
      <c r="A14" s="10" t="s">
        <v>75</v>
      </c>
      <c r="B14" s="12">
        <v>121</v>
      </c>
    </row>
  </sheetData>
  <pageMargins left="0.7" right="0.7" top="0.75" bottom="0.75" header="0.3" footer="0.3"/>
  <pageSetup scale="86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Sales Breakdown</vt:lpstr>
      <vt:lpstr>Sheet3</vt:lpstr>
      <vt:lpstr>Sheet1!Large_candy_sales_import_data</vt:lpstr>
      <vt:lpstr>Largebox</vt:lpstr>
      <vt:lpstr>Sheet1!Print_Area</vt:lpstr>
      <vt:lpstr>SmallBox</vt:lpstr>
    </vt:vector>
  </TitlesOfParts>
  <Company>AISD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Vines</dc:creator>
  <cp:lastModifiedBy>Jennifer Vines</cp:lastModifiedBy>
  <cp:lastPrinted>2018-05-29T21:26:31Z</cp:lastPrinted>
  <dcterms:created xsi:type="dcterms:W3CDTF">2014-06-12T19:18:25Z</dcterms:created>
  <dcterms:modified xsi:type="dcterms:W3CDTF">2018-06-15T16:54:42Z</dcterms:modified>
</cp:coreProperties>
</file>