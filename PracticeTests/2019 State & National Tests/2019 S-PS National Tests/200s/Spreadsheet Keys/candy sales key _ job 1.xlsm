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ennifer Vines\Documents\bpa testing\kyes\"/>
    </mc:Choice>
  </mc:AlternateContent>
  <bookViews>
    <workbookView xWindow="0" yWindow="0" windowWidth="20490" windowHeight="7155"/>
  </bookViews>
  <sheets>
    <sheet name="Sheet1" sheetId="1" r:id="rId1"/>
    <sheet name="Sheet2" sheetId="2" r:id="rId2"/>
    <sheet name="Sheet3" sheetId="3" r:id="rId3"/>
  </sheets>
  <definedNames>
    <definedName name="Large_candy_sales_import_data" localSheetId="0">Sheet1!$A$19:$G$35</definedName>
    <definedName name="Largebox">Sheet1!$G$19:$G$35</definedName>
    <definedName name="_xlnm.Print_Area" localSheetId="0">Sheet1!$A$1:$I$37</definedName>
    <definedName name="SmallBox">Sheet1!$G$4:$G$18</definedName>
  </definedNames>
  <calcPr calcId="162913"/>
</workbook>
</file>

<file path=xl/calcChain.xml><?xml version="1.0" encoding="utf-8"?>
<calcChain xmlns="http://schemas.openxmlformats.org/spreadsheetml/2006/main">
  <c r="I20" i="1" l="1"/>
  <c r="I19" i="1"/>
  <c r="G26" i="1" l="1"/>
  <c r="G30" i="1"/>
  <c r="G19" i="1"/>
  <c r="G22" i="1"/>
  <c r="G31" i="1"/>
  <c r="G20" i="1"/>
  <c r="G23" i="1"/>
  <c r="G32" i="1"/>
  <c r="G33" i="1"/>
  <c r="G27" i="1"/>
  <c r="G34" i="1"/>
  <c r="G24" i="1"/>
  <c r="G21" i="1"/>
  <c r="G28" i="1"/>
  <c r="G25" i="1"/>
  <c r="G29" i="1"/>
  <c r="G11" i="1"/>
  <c r="D12" i="1"/>
  <c r="D4" i="1"/>
  <c r="D15" i="1"/>
  <c r="D5" i="1"/>
  <c r="D16" i="1"/>
  <c r="D9" i="1"/>
  <c r="D13" i="1"/>
  <c r="D17" i="1"/>
  <c r="D6" i="1"/>
  <c r="D18" i="1"/>
  <c r="D10" i="1"/>
  <c r="D14" i="1"/>
  <c r="D35" i="1"/>
  <c r="D7" i="1"/>
  <c r="D11" i="1"/>
  <c r="D29" i="1"/>
  <c r="D26" i="1"/>
  <c r="D30" i="1"/>
  <c r="D19" i="1"/>
  <c r="D22" i="1"/>
  <c r="D31" i="1"/>
  <c r="D20" i="1"/>
  <c r="D23" i="1"/>
  <c r="D32" i="1"/>
  <c r="D33" i="1"/>
  <c r="D27" i="1"/>
  <c r="D34" i="1"/>
  <c r="D24" i="1"/>
  <c r="D21" i="1"/>
  <c r="D28" i="1"/>
  <c r="D25" i="1"/>
  <c r="D8" i="1"/>
  <c r="G8" i="1" l="1"/>
  <c r="G12" i="1"/>
  <c r="G4" i="1"/>
  <c r="G15" i="1"/>
  <c r="G5" i="1"/>
  <c r="G16" i="1"/>
  <c r="G9" i="1"/>
  <c r="G13" i="1"/>
  <c r="G17" i="1"/>
  <c r="G6" i="1"/>
  <c r="G18" i="1"/>
  <c r="G10" i="1"/>
  <c r="G14" i="1"/>
  <c r="G35" i="1"/>
  <c r="G7" i="1"/>
  <c r="G37" i="1" l="1"/>
</calcChain>
</file>

<file path=xl/connections.xml><?xml version="1.0" encoding="utf-8"?>
<connections xmlns="http://schemas.openxmlformats.org/spreadsheetml/2006/main">
  <connection id="1" name="Large candy sales import data" type="6" refreshedVersion="6" background="1" saveData="1">
    <textPr codePage="437" sourceFile="C:\Users\jlvines\Documents\BPA testing\Large candy sales import data.csv" tab="0" comma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<sst xmlns="http://schemas.openxmlformats.org/spreadsheetml/2006/main" count="141" uniqueCount="77">
  <si>
    <t>CANDY SALES</t>
  </si>
  <si>
    <t>Sam</t>
  </si>
  <si>
    <t>Ann</t>
  </si>
  <si>
    <t>Laura</t>
  </si>
  <si>
    <t>Raul</t>
  </si>
  <si>
    <t>Iliana</t>
  </si>
  <si>
    <t>Victor</t>
  </si>
  <si>
    <t>Lindsey</t>
  </si>
  <si>
    <t>Maria</t>
  </si>
  <si>
    <t>Aracely</t>
  </si>
  <si>
    <t>Patrick</t>
  </si>
  <si>
    <t>Freddy</t>
  </si>
  <si>
    <t>Connie</t>
  </si>
  <si>
    <t>Brian</t>
  </si>
  <si>
    <t>William</t>
  </si>
  <si>
    <t>Diana</t>
  </si>
  <si>
    <t>SMALL BOX</t>
  </si>
  <si>
    <t>LARGE BOX</t>
  </si>
  <si>
    <t>TOTAL COLLECTED</t>
  </si>
  <si>
    <t>Adams</t>
  </si>
  <si>
    <t>Taylor</t>
  </si>
  <si>
    <t>Ingalls</t>
  </si>
  <si>
    <t>Villa</t>
  </si>
  <si>
    <t>Smith</t>
  </si>
  <si>
    <t>Garber</t>
  </si>
  <si>
    <t>Wagner</t>
  </si>
  <si>
    <t>Shriver</t>
  </si>
  <si>
    <t>Arambula</t>
  </si>
  <si>
    <t>Stewart</t>
  </si>
  <si>
    <t>Wong</t>
  </si>
  <si>
    <t>Sawyer</t>
  </si>
  <si>
    <t>Epstein</t>
  </si>
  <si>
    <t>Drayton Jr.</t>
  </si>
  <si>
    <t>King</t>
  </si>
  <si>
    <t>Larry</t>
  </si>
  <si>
    <t>David</t>
  </si>
  <si>
    <t>Teacher</t>
  </si>
  <si>
    <t>First Name</t>
  </si>
  <si>
    <t>Last Name</t>
  </si>
  <si>
    <t>Candy Size</t>
  </si>
  <si>
    <t>Quantity</t>
  </si>
  <si>
    <t>Purchase total</t>
  </si>
  <si>
    <t>Jones</t>
  </si>
  <si>
    <t>Talbut</t>
  </si>
  <si>
    <t>Campbell</t>
  </si>
  <si>
    <t>Vazquez</t>
  </si>
  <si>
    <t>Tracy</t>
  </si>
  <si>
    <t>Curry</t>
  </si>
  <si>
    <t>Robert</t>
  </si>
  <si>
    <t>Charles</t>
  </si>
  <si>
    <t>Adam</t>
  </si>
  <si>
    <t>Antler</t>
  </si>
  <si>
    <t>Joe</t>
  </si>
  <si>
    <t>Fillmore</t>
  </si>
  <si>
    <t>Margie</t>
  </si>
  <si>
    <t>Simpson</t>
  </si>
  <si>
    <t>Alexa</t>
  </si>
  <si>
    <t>Amzone</t>
  </si>
  <si>
    <t>Phillip</t>
  </si>
  <si>
    <t>Washington</t>
  </si>
  <si>
    <t>Frank</t>
  </si>
  <si>
    <t>Potter</t>
  </si>
  <si>
    <t>Charlotte</t>
  </si>
  <si>
    <t>Webster</t>
  </si>
  <si>
    <t>Brett</t>
  </si>
  <si>
    <t>Butters</t>
  </si>
  <si>
    <t>Willie</t>
  </si>
  <si>
    <t>Abbot</t>
  </si>
  <si>
    <t>Denise</t>
  </si>
  <si>
    <t>Amber</t>
  </si>
  <si>
    <t>London</t>
  </si>
  <si>
    <t>Bridgestone</t>
  </si>
  <si>
    <t>Small Cost</t>
  </si>
  <si>
    <t>Large Cost</t>
  </si>
  <si>
    <t>Name</t>
  </si>
  <si>
    <t>Total Small box purchases</t>
  </si>
  <si>
    <t>Total Large box purchases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</si>
</sst>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Large candy sales import data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37"/>
  <sheetViews>
    <sheetView tabSelected="1" workbookViewId="0">
      <selection activeCell="I6" sqref="I6"/>
    </sheetView>
  </sheetViews>
  <sheetFormatPr defaultRowHeight="15" x14ac:dyDescent="0.25"/>
  <cols>
    <col min="1" max="1" width="11" style="1" customWidth="1"/>
    <col min="2" max="2" width="13.140625" style="1" hidden="1" customWidth="1"/>
    <col min="3" max="3" width="14.7109375" style="1" hidden="1" customWidth="1"/>
    <col min="4" max="4" width="18.140625" style="1" bestFit="1" customWidth="1"/>
    <col min="5" max="5" width="18.140625" style="1" customWidth="1"/>
    <col min="6" max="6" width="13.28515625" style="1" customWidth="1"/>
    <col min="7" max="7" width="21.42578125" style="1" customWidth="1"/>
    <col min="8" max="8" width="23.42578125" style="1" customWidth="1"/>
    <col min="9" max="9" width="20.85546875" style="1" bestFit="1" customWidth="1"/>
    <col min="10" max="10" width="12.85546875" style="1" customWidth="1"/>
    <col min="11" max="16384" width="9.140625" style="1"/>
  </cols>
  <sheetData>
    <row r="1" spans="1:10" ht="20.100000000000001" customHeight="1" x14ac:dyDescent="0.25">
      <c r="B1"/>
      <c r="C1"/>
      <c r="D1" t="s">
        <v>0</v>
      </c>
      <c r="E1"/>
      <c r="F1"/>
      <c r="G1"/>
    </row>
    <row r="2" spans="1:10" ht="16.5" customHeight="1" x14ac:dyDescent="0.25">
      <c r="D2" s="1" t="s">
        <v>72</v>
      </c>
      <c r="E2">
        <v>2</v>
      </c>
      <c r="F2" s="1" t="s">
        <v>73</v>
      </c>
      <c r="G2">
        <v>4</v>
      </c>
    </row>
    <row r="3" spans="1:10" x14ac:dyDescent="0.25">
      <c r="A3" s="1" t="s">
        <v>36</v>
      </c>
      <c r="B3" s="1" t="s">
        <v>37</v>
      </c>
      <c r="C3" s="1" t="s">
        <v>38</v>
      </c>
      <c r="D3" s="1" t="s">
        <v>74</v>
      </c>
      <c r="E3" s="1" t="s">
        <v>39</v>
      </c>
      <c r="F3" s="1" t="s">
        <v>40</v>
      </c>
      <c r="G3" s="1" t="s">
        <v>41</v>
      </c>
    </row>
    <row r="4" spans="1:10" x14ac:dyDescent="0.25">
      <c r="A4" s="1" t="s">
        <v>44</v>
      </c>
      <c r="B4" s="1" t="s">
        <v>3</v>
      </c>
      <c r="C4" s="1" t="s">
        <v>21</v>
      </c>
      <c r="D4" s="1" t="str">
        <f t="shared" ref="D4:D34" si="0">CONCATENATE(B4," ",C4)</f>
        <v>Laura Ingalls</v>
      </c>
      <c r="E4" s="1" t="s">
        <v>16</v>
      </c>
      <c r="F4" s="1">
        <v>5</v>
      </c>
      <c r="G4">
        <f t="shared" ref="G4:G18" si="1">F4*$E$2</f>
        <v>10</v>
      </c>
    </row>
    <row r="5" spans="1:10" x14ac:dyDescent="0.25">
      <c r="A5" s="1" t="s">
        <v>44</v>
      </c>
      <c r="B5" s="1" t="s">
        <v>5</v>
      </c>
      <c r="C5" s="1" t="s">
        <v>23</v>
      </c>
      <c r="D5" s="1" t="str">
        <f t="shared" si="0"/>
        <v>Iliana Smith</v>
      </c>
      <c r="E5" s="1" t="s">
        <v>16</v>
      </c>
      <c r="F5" s="1">
        <v>1</v>
      </c>
      <c r="G5">
        <f t="shared" si="1"/>
        <v>2</v>
      </c>
    </row>
    <row r="6" spans="1:10" x14ac:dyDescent="0.25">
      <c r="A6" s="1" t="s">
        <v>44</v>
      </c>
      <c r="B6" s="1" t="s">
        <v>10</v>
      </c>
      <c r="C6" s="1" t="s">
        <v>28</v>
      </c>
      <c r="D6" s="1" t="str">
        <f t="shared" si="0"/>
        <v>Patrick Stewart</v>
      </c>
      <c r="E6" s="1" t="s">
        <v>16</v>
      </c>
      <c r="F6" s="1">
        <v>3</v>
      </c>
      <c r="G6">
        <f t="shared" si="1"/>
        <v>6</v>
      </c>
    </row>
    <row r="7" spans="1:10" x14ac:dyDescent="0.25">
      <c r="A7" s="1" t="s">
        <v>44</v>
      </c>
      <c r="B7" s="1" t="s">
        <v>15</v>
      </c>
      <c r="C7" s="1" t="s">
        <v>33</v>
      </c>
      <c r="D7" s="1" t="str">
        <f t="shared" si="0"/>
        <v>Diana King</v>
      </c>
      <c r="E7" s="1" t="s">
        <v>16</v>
      </c>
      <c r="F7" s="1">
        <v>6</v>
      </c>
      <c r="G7">
        <f t="shared" si="1"/>
        <v>12</v>
      </c>
    </row>
    <row r="8" spans="1:10" x14ac:dyDescent="0.25">
      <c r="A8" s="1" t="s">
        <v>42</v>
      </c>
      <c r="B8" s="1" t="s">
        <v>1</v>
      </c>
      <c r="C8" s="1" t="s">
        <v>19</v>
      </c>
      <c r="D8" s="1" t="str">
        <f t="shared" si="0"/>
        <v>Sam Adams</v>
      </c>
      <c r="E8" s="1" t="s">
        <v>16</v>
      </c>
      <c r="F8" s="1">
        <v>1</v>
      </c>
      <c r="G8">
        <f t="shared" si="1"/>
        <v>2</v>
      </c>
    </row>
    <row r="9" spans="1:10" x14ac:dyDescent="0.25">
      <c r="A9" s="1" t="s">
        <v>42</v>
      </c>
      <c r="B9" s="1" t="s">
        <v>7</v>
      </c>
      <c r="C9" s="1" t="s">
        <v>25</v>
      </c>
      <c r="D9" s="1" t="str">
        <f t="shared" si="0"/>
        <v>Lindsey Wagner</v>
      </c>
      <c r="E9" s="1" t="s">
        <v>16</v>
      </c>
      <c r="F9" s="1">
        <v>3</v>
      </c>
      <c r="G9">
        <f t="shared" si="1"/>
        <v>6</v>
      </c>
    </row>
    <row r="10" spans="1:10" x14ac:dyDescent="0.25">
      <c r="A10" s="1" t="s">
        <v>42</v>
      </c>
      <c r="B10" s="1" t="s">
        <v>12</v>
      </c>
      <c r="C10" s="1" t="s">
        <v>30</v>
      </c>
      <c r="D10" s="1" t="str">
        <f t="shared" si="0"/>
        <v>Connie Sawyer</v>
      </c>
      <c r="E10" s="1" t="s">
        <v>16</v>
      </c>
      <c r="F10" s="1">
        <v>2</v>
      </c>
      <c r="G10">
        <f t="shared" si="1"/>
        <v>4</v>
      </c>
      <c r="I10"/>
    </row>
    <row r="11" spans="1:10" x14ac:dyDescent="0.25">
      <c r="A11" s="1" t="s">
        <v>42</v>
      </c>
      <c r="B11" s="1" t="s">
        <v>34</v>
      </c>
      <c r="C11" s="1" t="s">
        <v>35</v>
      </c>
      <c r="D11" s="1" t="str">
        <f t="shared" si="0"/>
        <v>Larry David</v>
      </c>
      <c r="E11" s="1" t="s">
        <v>16</v>
      </c>
      <c r="F11" s="1">
        <v>4</v>
      </c>
      <c r="G11">
        <f t="shared" si="1"/>
        <v>8</v>
      </c>
    </row>
    <row r="12" spans="1:10" x14ac:dyDescent="0.25">
      <c r="A12" s="1" t="s">
        <v>43</v>
      </c>
      <c r="B12" s="1" t="s">
        <v>2</v>
      </c>
      <c r="C12" s="1" t="s">
        <v>20</v>
      </c>
      <c r="D12" s="1" t="str">
        <f t="shared" si="0"/>
        <v>Ann Taylor</v>
      </c>
      <c r="E12" s="1" t="s">
        <v>16</v>
      </c>
      <c r="F12" s="1">
        <v>3</v>
      </c>
      <c r="G12">
        <f t="shared" si="1"/>
        <v>6</v>
      </c>
    </row>
    <row r="13" spans="1:10" x14ac:dyDescent="0.25">
      <c r="A13" s="1" t="s">
        <v>43</v>
      </c>
      <c r="B13" s="1" t="s">
        <v>8</v>
      </c>
      <c r="C13" s="1" t="s">
        <v>26</v>
      </c>
      <c r="D13" s="1" t="str">
        <f t="shared" si="0"/>
        <v>Maria Shriver</v>
      </c>
      <c r="E13" s="1" t="s">
        <v>16</v>
      </c>
      <c r="F13" s="1">
        <v>2</v>
      </c>
      <c r="G13">
        <f t="shared" si="1"/>
        <v>4</v>
      </c>
    </row>
    <row r="14" spans="1:10" x14ac:dyDescent="0.25">
      <c r="A14" s="1" t="s">
        <v>43</v>
      </c>
      <c r="B14" s="1" t="s">
        <v>13</v>
      </c>
      <c r="C14" s="1" t="s">
        <v>31</v>
      </c>
      <c r="D14" s="1" t="str">
        <f t="shared" si="0"/>
        <v>Brian Epstein</v>
      </c>
      <c r="E14" s="1" t="s">
        <v>16</v>
      </c>
      <c r="F14" s="1">
        <v>8</v>
      </c>
      <c r="G14">
        <f t="shared" si="1"/>
        <v>16</v>
      </c>
    </row>
    <row r="15" spans="1:10" x14ac:dyDescent="0.25">
      <c r="A15" s="1" t="s">
        <v>45</v>
      </c>
      <c r="B15" s="1" t="s">
        <v>4</v>
      </c>
      <c r="C15" s="1" t="s">
        <v>22</v>
      </c>
      <c r="D15" s="1" t="str">
        <f t="shared" si="0"/>
        <v>Raul Villa</v>
      </c>
      <c r="E15" s="1" t="s">
        <v>16</v>
      </c>
      <c r="F15" s="1">
        <v>2</v>
      </c>
      <c r="G15">
        <f t="shared" si="1"/>
        <v>4</v>
      </c>
      <c r="J15"/>
    </row>
    <row r="16" spans="1:10" x14ac:dyDescent="0.25">
      <c r="A16" s="1" t="s">
        <v>45</v>
      </c>
      <c r="B16" s="1" t="s">
        <v>6</v>
      </c>
      <c r="C16" s="1" t="s">
        <v>24</v>
      </c>
      <c r="D16" s="1" t="str">
        <f t="shared" si="0"/>
        <v>Victor Garber</v>
      </c>
      <c r="E16" s="1" t="s">
        <v>16</v>
      </c>
      <c r="F16" s="1">
        <v>4</v>
      </c>
      <c r="G16">
        <f t="shared" si="1"/>
        <v>8</v>
      </c>
    </row>
    <row r="17" spans="1:9" x14ac:dyDescent="0.25">
      <c r="A17" s="1" t="s">
        <v>45</v>
      </c>
      <c r="B17" s="1" t="s">
        <v>9</v>
      </c>
      <c r="C17" s="1" t="s">
        <v>27</v>
      </c>
      <c r="D17" s="1" t="str">
        <f t="shared" si="0"/>
        <v>Aracely Arambula</v>
      </c>
      <c r="E17" s="1" t="s">
        <v>16</v>
      </c>
      <c r="F17" s="1">
        <v>5</v>
      </c>
      <c r="G17">
        <f t="shared" si="1"/>
        <v>10</v>
      </c>
    </row>
    <row r="18" spans="1:9" x14ac:dyDescent="0.25">
      <c r="A18" s="1" t="s">
        <v>45</v>
      </c>
      <c r="B18" s="1" t="s">
        <v>11</v>
      </c>
      <c r="C18" s="1" t="s">
        <v>29</v>
      </c>
      <c r="D18" s="1" t="str">
        <f t="shared" si="0"/>
        <v>Freddy Wong</v>
      </c>
      <c r="E18" s="1" t="s">
        <v>16</v>
      </c>
      <c r="F18" s="1">
        <v>1</v>
      </c>
      <c r="G18">
        <f t="shared" si="1"/>
        <v>2</v>
      </c>
    </row>
    <row r="19" spans="1:9" x14ac:dyDescent="0.25">
      <c r="A19" s="1" t="s">
        <v>44</v>
      </c>
      <c r="B19" s="1" t="s">
        <v>48</v>
      </c>
      <c r="C19" s="1" t="s">
        <v>22</v>
      </c>
      <c r="D19" s="1" t="str">
        <f t="shared" si="0"/>
        <v>Robert Villa</v>
      </c>
      <c r="E19" s="1" t="s">
        <v>17</v>
      </c>
      <c r="F19" s="1">
        <v>6</v>
      </c>
      <c r="G19">
        <f t="shared" ref="G19:G34" si="2">F19*$G$2</f>
        <v>24</v>
      </c>
      <c r="H19" s="1" t="s">
        <v>75</v>
      </c>
      <c r="I19" s="1">
        <f>SUM(SmallBox)</f>
        <v>100</v>
      </c>
    </row>
    <row r="20" spans="1:9" x14ac:dyDescent="0.25">
      <c r="A20" s="1" t="s">
        <v>44</v>
      </c>
      <c r="B20" s="1" t="s">
        <v>52</v>
      </c>
      <c r="C20" s="1" t="s">
        <v>53</v>
      </c>
      <c r="D20" s="1" t="str">
        <f t="shared" si="0"/>
        <v>Joe Fillmore</v>
      </c>
      <c r="E20" s="1" t="s">
        <v>17</v>
      </c>
      <c r="F20" s="1">
        <v>3</v>
      </c>
      <c r="G20">
        <f t="shared" si="2"/>
        <v>12</v>
      </c>
      <c r="H20" s="1" t="s">
        <v>76</v>
      </c>
      <c r="I20" s="1">
        <f>SUM(Largebox)</f>
        <v>270</v>
      </c>
    </row>
    <row r="21" spans="1:9" x14ac:dyDescent="0.25">
      <c r="A21" s="1" t="s">
        <v>44</v>
      </c>
      <c r="B21" s="1" t="s">
        <v>66</v>
      </c>
      <c r="C21" s="1" t="s">
        <v>67</v>
      </c>
      <c r="D21" s="1" t="str">
        <f t="shared" si="0"/>
        <v>Willie Abbot</v>
      </c>
      <c r="E21" s="1" t="s">
        <v>17</v>
      </c>
      <c r="F21" s="1">
        <v>3</v>
      </c>
      <c r="G21">
        <f t="shared" si="2"/>
        <v>12</v>
      </c>
    </row>
    <row r="22" spans="1:9" x14ac:dyDescent="0.25">
      <c r="A22" s="1" t="s">
        <v>42</v>
      </c>
      <c r="B22" s="1" t="s">
        <v>49</v>
      </c>
      <c r="C22" s="1" t="s">
        <v>23</v>
      </c>
      <c r="D22" s="1" t="str">
        <f t="shared" si="0"/>
        <v>Charles Smith</v>
      </c>
      <c r="E22" s="1" t="s">
        <v>17</v>
      </c>
      <c r="F22" s="1">
        <v>7</v>
      </c>
      <c r="G22">
        <f t="shared" si="2"/>
        <v>28</v>
      </c>
    </row>
    <row r="23" spans="1:9" x14ac:dyDescent="0.25">
      <c r="A23" s="1" t="s">
        <v>42</v>
      </c>
      <c r="B23" s="1" t="s">
        <v>54</v>
      </c>
      <c r="C23" s="1" t="s">
        <v>55</v>
      </c>
      <c r="D23" s="1" t="str">
        <f t="shared" si="0"/>
        <v>Margie Simpson</v>
      </c>
      <c r="E23" s="1" t="s">
        <v>17</v>
      </c>
      <c r="F23" s="1">
        <v>1</v>
      </c>
      <c r="G23">
        <f t="shared" si="2"/>
        <v>4</v>
      </c>
    </row>
    <row r="24" spans="1:9" x14ac:dyDescent="0.25">
      <c r="A24" s="1" t="s">
        <v>42</v>
      </c>
      <c r="B24" s="1" t="s">
        <v>64</v>
      </c>
      <c r="C24" s="1" t="s">
        <v>65</v>
      </c>
      <c r="D24" s="1" t="str">
        <f t="shared" si="0"/>
        <v>Brett Butters</v>
      </c>
      <c r="E24" s="1" t="s">
        <v>17</v>
      </c>
      <c r="F24" s="1">
        <v>2</v>
      </c>
      <c r="G24">
        <f t="shared" si="2"/>
        <v>8</v>
      </c>
    </row>
    <row r="25" spans="1:9" x14ac:dyDescent="0.25">
      <c r="A25" s="2" t="s">
        <v>42</v>
      </c>
      <c r="B25" s="2" t="s">
        <v>70</v>
      </c>
      <c r="C25" s="2" t="s">
        <v>71</v>
      </c>
      <c r="D25" s="2" t="str">
        <f t="shared" si="0"/>
        <v>London Bridgestone</v>
      </c>
      <c r="E25" s="2" t="s">
        <v>17</v>
      </c>
      <c r="F25" s="2">
        <v>4</v>
      </c>
      <c r="G25">
        <f t="shared" si="2"/>
        <v>16</v>
      </c>
    </row>
    <row r="26" spans="1:9" x14ac:dyDescent="0.25">
      <c r="A26" s="1" t="s">
        <v>43</v>
      </c>
      <c r="B26" s="1" t="s">
        <v>2</v>
      </c>
      <c r="C26" s="1" t="s">
        <v>47</v>
      </c>
      <c r="D26" s="1" t="str">
        <f t="shared" si="0"/>
        <v>Ann Curry</v>
      </c>
      <c r="E26" s="1" t="s">
        <v>17</v>
      </c>
      <c r="F26" s="1">
        <v>5</v>
      </c>
      <c r="G26">
        <f t="shared" si="2"/>
        <v>20</v>
      </c>
    </row>
    <row r="27" spans="1:9" x14ac:dyDescent="0.25">
      <c r="A27" s="1" t="s">
        <v>43</v>
      </c>
      <c r="B27" s="1" t="s">
        <v>60</v>
      </c>
      <c r="C27" s="1" t="s">
        <v>61</v>
      </c>
      <c r="D27" s="1" t="str">
        <f t="shared" si="0"/>
        <v>Frank Potter</v>
      </c>
      <c r="E27" s="1" t="s">
        <v>17</v>
      </c>
      <c r="F27" s="1">
        <v>8</v>
      </c>
      <c r="G27">
        <f t="shared" si="2"/>
        <v>32</v>
      </c>
    </row>
    <row r="28" spans="1:9" x14ac:dyDescent="0.25">
      <c r="A28" s="1" t="s">
        <v>43</v>
      </c>
      <c r="B28" s="1" t="s">
        <v>68</v>
      </c>
      <c r="C28" s="1" t="s">
        <v>69</v>
      </c>
      <c r="D28" s="1" t="str">
        <f t="shared" si="0"/>
        <v>Denise Amber</v>
      </c>
      <c r="E28" s="1" t="s">
        <v>17</v>
      </c>
      <c r="F28" s="1">
        <v>6</v>
      </c>
      <c r="G28">
        <f t="shared" si="2"/>
        <v>24</v>
      </c>
    </row>
    <row r="29" spans="1:9" x14ac:dyDescent="0.25">
      <c r="A29" s="1" t="s">
        <v>45</v>
      </c>
      <c r="B29" s="1" t="s">
        <v>46</v>
      </c>
      <c r="C29" s="1" t="s">
        <v>19</v>
      </c>
      <c r="D29" s="1" t="str">
        <f t="shared" si="0"/>
        <v>Tracy Adams</v>
      </c>
      <c r="E29" s="1" t="s">
        <v>17</v>
      </c>
      <c r="F29" s="1">
        <v>4</v>
      </c>
      <c r="G29">
        <f t="shared" si="2"/>
        <v>16</v>
      </c>
    </row>
    <row r="30" spans="1:9" x14ac:dyDescent="0.25">
      <c r="A30" s="1" t="s">
        <v>45</v>
      </c>
      <c r="B30" s="1" t="s">
        <v>3</v>
      </c>
      <c r="C30" s="1" t="s">
        <v>23</v>
      </c>
      <c r="D30" s="1" t="str">
        <f t="shared" si="0"/>
        <v>Laura Smith</v>
      </c>
      <c r="E30" s="1" t="s">
        <v>17</v>
      </c>
      <c r="F30" s="1">
        <v>1</v>
      </c>
      <c r="G30">
        <f t="shared" si="2"/>
        <v>4</v>
      </c>
    </row>
    <row r="31" spans="1:9" x14ac:dyDescent="0.25">
      <c r="A31" s="1" t="s">
        <v>45</v>
      </c>
      <c r="B31" s="1" t="s">
        <v>50</v>
      </c>
      <c r="C31" s="1" t="s">
        <v>51</v>
      </c>
      <c r="D31" s="1" t="str">
        <f t="shared" si="0"/>
        <v>Adam Antler</v>
      </c>
      <c r="E31" s="1" t="s">
        <v>17</v>
      </c>
      <c r="F31" s="1">
        <v>4</v>
      </c>
      <c r="G31">
        <f t="shared" si="2"/>
        <v>16</v>
      </c>
    </row>
    <row r="32" spans="1:9" x14ac:dyDescent="0.25">
      <c r="A32" s="1" t="s">
        <v>45</v>
      </c>
      <c r="B32" s="1" t="s">
        <v>56</v>
      </c>
      <c r="C32" s="1" t="s">
        <v>57</v>
      </c>
      <c r="D32" s="1" t="str">
        <f t="shared" si="0"/>
        <v>Alexa Amzone</v>
      </c>
      <c r="E32" s="1" t="s">
        <v>17</v>
      </c>
      <c r="F32" s="1">
        <v>2</v>
      </c>
      <c r="G32">
        <f t="shared" si="2"/>
        <v>8</v>
      </c>
    </row>
    <row r="33" spans="1:7" x14ac:dyDescent="0.25">
      <c r="A33" s="1" t="s">
        <v>45</v>
      </c>
      <c r="B33" s="1" t="s">
        <v>58</v>
      </c>
      <c r="C33" s="1" t="s">
        <v>59</v>
      </c>
      <c r="D33" s="1" t="str">
        <f t="shared" si="0"/>
        <v>Phillip Washington</v>
      </c>
      <c r="E33" s="1" t="s">
        <v>17</v>
      </c>
      <c r="F33" s="1">
        <v>3</v>
      </c>
      <c r="G33">
        <f t="shared" si="2"/>
        <v>12</v>
      </c>
    </row>
    <row r="34" spans="1:7" x14ac:dyDescent="0.25">
      <c r="A34" s="1" t="s">
        <v>45</v>
      </c>
      <c r="B34" s="1" t="s">
        <v>62</v>
      </c>
      <c r="C34" s="1" t="s">
        <v>63</v>
      </c>
      <c r="D34" s="1" t="str">
        <f t="shared" si="0"/>
        <v>Charlotte Webster</v>
      </c>
      <c r="E34" s="1" t="s">
        <v>17</v>
      </c>
      <c r="F34" s="1">
        <v>5</v>
      </c>
      <c r="G34">
        <f t="shared" si="2"/>
        <v>20</v>
      </c>
    </row>
    <row r="35" spans="1:7" x14ac:dyDescent="0.25">
      <c r="A35" s="2" t="s">
        <v>45</v>
      </c>
      <c r="B35" s="2" t="s">
        <v>14</v>
      </c>
      <c r="C35" s="2" t="s">
        <v>32</v>
      </c>
      <c r="D35" s="2" t="str">
        <f t="shared" ref="D35" si="3">CONCATENATE(B35," ",C35)</f>
        <v>William Drayton Jr.</v>
      </c>
      <c r="E35" s="2" t="s">
        <v>16</v>
      </c>
      <c r="F35" s="2">
        <v>7</v>
      </c>
      <c r="G35">
        <f>F35*$E$2</f>
        <v>14</v>
      </c>
    </row>
    <row r="36" spans="1:7" x14ac:dyDescent="0.25">
      <c r="A36" s="2"/>
      <c r="B36" s="2"/>
      <c r="C36" s="2"/>
      <c r="D36" s="2"/>
      <c r="E36" s="2"/>
    </row>
    <row r="37" spans="1:7" x14ac:dyDescent="0.25">
      <c r="F37" s="3" t="s">
        <v>18</v>
      </c>
      <c r="G37">
        <f>SUM(G4:G35)</f>
        <v>370</v>
      </c>
    </row>
  </sheetData>
  <sortState ref="A4:G34">
    <sortCondition descending="1" ref="E4:E34"/>
  </sortState>
  <dataConsolidate/>
  <printOptions horizontalCentered="1" verticalCentered="1"/>
  <pageMargins left="0.25" right="0.25" top="0.5" bottom="0.5" header="0.3" footer="0.3"/>
  <pageSetup scale="9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XFD15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Sheet2</vt:lpstr>
      <vt:lpstr>Sheet3</vt:lpstr>
      <vt:lpstr>Sheet1!Large_candy_sales_import_data</vt:lpstr>
      <vt:lpstr>Largebox</vt:lpstr>
      <vt:lpstr>Sheet1!Print_Area</vt:lpstr>
      <vt:lpstr>SmallBox</vt:lpstr>
    </vt:vector>
  </TitlesOfParts>
  <Company>AISD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Vines</dc:creator>
  <cp:lastModifiedBy>Jennifer Vines</cp:lastModifiedBy>
  <cp:lastPrinted>2018-05-29T21:58:38Z</cp:lastPrinted>
  <dcterms:created xsi:type="dcterms:W3CDTF">2014-06-12T19:18:25Z</dcterms:created>
  <dcterms:modified xsi:type="dcterms:W3CDTF">2018-06-15T16:47:41Z</dcterms:modified>
</cp:coreProperties>
</file>