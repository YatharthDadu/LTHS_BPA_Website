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PNG" ContentType="image/png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pivotCache/pivotCacheDefinition1.xml" ContentType="application/vnd.openxmlformats-officedocument.spreadsheetml.pivotCacheDefinition+xml"/>
  <Override PartName="/xl/pivotCache/pivotCacheRecords1.xml" ContentType="application/vnd.openxmlformats-officedocument.spreadsheetml.pivotCacheRecords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xl/pivotTables/pivotTable1.xml" ContentType="application/vnd.openxmlformats-officedocument.spreadsheetml.pivotTable+xml"/>
  <Override PartName="/xl/drawings/drawing2.xml" ContentType="application/vnd.openxmlformats-officedocument.drawing+xml"/>
  <Override PartName="/xl/charts/chart1.xml" ContentType="application/vnd.openxmlformats-officedocument.drawingml.chart+xml"/>
  <Override PartName="/xl/charts/style1.xml" ContentType="application/vnd.ms-office.chartstyle+xml"/>
  <Override PartName="/xl/charts/colors1.xml" ContentType="application/vnd.ms-office.chartcolorstyle+xml"/>
  <Override PartName="/xl/drawings/drawing3.xml" ContentType="application/vnd.openxmlformats-officedocument.drawing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6" lowestEdited="6" rupBuild="14420"/>
  <workbookPr codeName="ThisWorkbook" defaultThemeVersion="164011"/>
  <mc:AlternateContent xmlns:mc="http://schemas.openxmlformats.org/markup-compatibility/2006">
    <mc:Choice Requires="x15">
      <x15ac:absPath xmlns:x15ac="http://schemas.microsoft.com/office/spreadsheetml/2010/11/ac" url="C:\Users\amcnew\Desktop\2019 National Tests\200s\"/>
    </mc:Choice>
  </mc:AlternateContent>
  <bookViews>
    <workbookView xWindow="0" yWindow="0" windowWidth="19180" windowHeight="6150"/>
  </bookViews>
  <sheets>
    <sheet name="Consolidated" sheetId="1" r:id="rId1"/>
    <sheet name="Printout2" sheetId="14" r:id="rId2"/>
    <sheet name="Miami" sheetId="8" r:id="rId3"/>
    <sheet name="Orlando" sheetId="9" r:id="rId4"/>
    <sheet name="Jacksonville" sheetId="10" r:id="rId5"/>
    <sheet name="Pivot_Chart" sheetId="12" r:id="rId6"/>
    <sheet name="Printout 7" sheetId="13" r:id="rId7"/>
  </sheets>
  <calcPr calcId="162913"/>
  <pivotCaches>
    <pivotCache cacheId="0" r:id="rId8"/>
  </pivotCaches>
  <extLst>
    <ext xmlns:x15="http://schemas.microsoft.com/office/spreadsheetml/2010/11/main" uri="{140A7094-0E35-4892-8432-C4D2E57EDEB5}">
      <x15:workbookPr chartTrackingRefBase="1"/>
    </ext>
  </extLst>
</workbook>
</file>

<file path=xl/calcChain.xml><?xml version="1.0" encoding="utf-8"?>
<calcChain xmlns="http://schemas.openxmlformats.org/spreadsheetml/2006/main">
  <c r="G5" i="1" l="1"/>
  <c r="B12" i="10" l="1"/>
  <c r="B12" i="9"/>
  <c r="B12" i="8"/>
  <c r="C6" i="1"/>
  <c r="F6" i="1" s="1"/>
  <c r="G6" i="1" s="1"/>
  <c r="C7" i="1"/>
  <c r="F7" i="1" s="1"/>
  <c r="C8" i="1"/>
  <c r="F8" i="1" s="1"/>
  <c r="C9" i="1"/>
  <c r="C10" i="1"/>
  <c r="C11" i="1"/>
  <c r="C5" i="1"/>
  <c r="F5" i="1" s="1"/>
  <c r="B6" i="1"/>
  <c r="E6" i="1" s="1"/>
  <c r="B7" i="1"/>
  <c r="E7" i="1" s="1"/>
  <c r="B8" i="1"/>
  <c r="E8" i="1" s="1"/>
  <c r="B9" i="1"/>
  <c r="E9" i="1" s="1"/>
  <c r="B10" i="1"/>
  <c r="E10" i="1" s="1"/>
  <c r="B11" i="1"/>
  <c r="E11" i="1" s="1"/>
  <c r="B5" i="1"/>
  <c r="E12" i="10"/>
  <c r="G12" i="10"/>
  <c r="H12" i="10"/>
  <c r="E12" i="9"/>
  <c r="G12" i="9"/>
  <c r="H12" i="9"/>
  <c r="E12" i="8"/>
  <c r="E6" i="10"/>
  <c r="F6" i="10"/>
  <c r="G6" i="10" s="1"/>
  <c r="H6" i="10" s="1"/>
  <c r="E7" i="10"/>
  <c r="F7" i="10"/>
  <c r="G7" i="10"/>
  <c r="H7" i="10" s="1"/>
  <c r="E8" i="10"/>
  <c r="F8" i="10"/>
  <c r="G8" i="10" s="1"/>
  <c r="H8" i="10" s="1"/>
  <c r="E9" i="10"/>
  <c r="F9" i="10"/>
  <c r="G9" i="10"/>
  <c r="H9" i="10" s="1"/>
  <c r="E10" i="10"/>
  <c r="F10" i="10"/>
  <c r="G10" i="10" s="1"/>
  <c r="H10" i="10" s="1"/>
  <c r="E11" i="10"/>
  <c r="F11" i="10"/>
  <c r="G11" i="10" s="1"/>
  <c r="H11" i="10" s="1"/>
  <c r="E6" i="9"/>
  <c r="F6" i="9"/>
  <c r="G6" i="9" s="1"/>
  <c r="H6" i="9" s="1"/>
  <c r="E7" i="9"/>
  <c r="F7" i="9"/>
  <c r="G7" i="9" s="1"/>
  <c r="H7" i="9" s="1"/>
  <c r="E8" i="9"/>
  <c r="F8" i="9"/>
  <c r="G8" i="9" s="1"/>
  <c r="H8" i="9" s="1"/>
  <c r="E9" i="9"/>
  <c r="F9" i="9"/>
  <c r="G9" i="9" s="1"/>
  <c r="H9" i="9" s="1"/>
  <c r="E10" i="9"/>
  <c r="F10" i="9"/>
  <c r="G10" i="9" s="1"/>
  <c r="H10" i="9" s="1"/>
  <c r="E11" i="9"/>
  <c r="F11" i="9"/>
  <c r="G11" i="9" s="1"/>
  <c r="H11" i="9" s="1"/>
  <c r="E6" i="8"/>
  <c r="F6" i="8"/>
  <c r="G6" i="8" s="1"/>
  <c r="H6" i="8" s="1"/>
  <c r="E7" i="8"/>
  <c r="F7" i="8"/>
  <c r="G7" i="8" s="1"/>
  <c r="H7" i="8" s="1"/>
  <c r="E8" i="8"/>
  <c r="F8" i="8"/>
  <c r="G8" i="8" s="1"/>
  <c r="H8" i="8" s="1"/>
  <c r="E9" i="8"/>
  <c r="F9" i="8"/>
  <c r="G9" i="8" s="1"/>
  <c r="H9" i="8" s="1"/>
  <c r="E10" i="8"/>
  <c r="F10" i="8"/>
  <c r="G10" i="8" s="1"/>
  <c r="H10" i="8" s="1"/>
  <c r="E11" i="8"/>
  <c r="F11" i="8"/>
  <c r="G11" i="8" s="1"/>
  <c r="H11" i="8" s="1"/>
  <c r="F9" i="1"/>
  <c r="F10" i="1"/>
  <c r="F11" i="1"/>
  <c r="F5" i="10"/>
  <c r="G5" i="10" s="1"/>
  <c r="H5" i="10" s="1"/>
  <c r="E5" i="10"/>
  <c r="F5" i="9"/>
  <c r="G5" i="9" s="1"/>
  <c r="H5" i="9" s="1"/>
  <c r="E5" i="9"/>
  <c r="F5" i="8"/>
  <c r="G5" i="8" s="1"/>
  <c r="G12" i="8" s="1"/>
  <c r="E5" i="8"/>
  <c r="G10" i="1" l="1"/>
  <c r="H10" i="1" s="1"/>
  <c r="G8" i="1"/>
  <c r="H8" i="1"/>
  <c r="E5" i="1"/>
  <c r="H5" i="8"/>
  <c r="H12" i="8" s="1"/>
  <c r="B12" i="1"/>
  <c r="B13" i="1" s="1"/>
  <c r="G11" i="1"/>
  <c r="H11" i="1" s="1"/>
  <c r="G7" i="1"/>
  <c r="H7" i="1" s="1"/>
  <c r="H6" i="1"/>
  <c r="G9" i="1"/>
  <c r="H9" i="1" s="1"/>
  <c r="E12" i="1"/>
  <c r="G12" i="1" l="1"/>
  <c r="H5" i="1"/>
  <c r="H12" i="1" s="1"/>
</calcChain>
</file>

<file path=xl/sharedStrings.xml><?xml version="1.0" encoding="utf-8"?>
<sst xmlns="http://schemas.openxmlformats.org/spreadsheetml/2006/main" count="91" uniqueCount="26">
  <si>
    <t>Gracie's Hair Care</t>
  </si>
  <si>
    <t>Potential Profits</t>
  </si>
  <si>
    <t>Units
on Hand</t>
  </si>
  <si>
    <t>Store
Discount</t>
  </si>
  <si>
    <t>Total
Cost</t>
  </si>
  <si>
    <t>Average
Unit Price</t>
  </si>
  <si>
    <t>Total
Value</t>
  </si>
  <si>
    <t>Potential
Profit</t>
  </si>
  <si>
    <t>Brand</t>
  </si>
  <si>
    <t>A&amp;G</t>
  </si>
  <si>
    <t>Kenra</t>
  </si>
  <si>
    <t>Aquage</t>
  </si>
  <si>
    <t>Matrix</t>
  </si>
  <si>
    <t>Paul Mitchell</t>
  </si>
  <si>
    <t>Redken</t>
  </si>
  <si>
    <t>Biometrix</t>
  </si>
  <si>
    <t>Rounded Total</t>
  </si>
  <si>
    <t>Average
Cost</t>
  </si>
  <si>
    <t>Miami Profits</t>
  </si>
  <si>
    <t>Jacksonville Profits</t>
  </si>
  <si>
    <t>Orlando Profits</t>
  </si>
  <si>
    <t>Grand Total</t>
  </si>
  <si>
    <t>Sum of Potential</t>
  </si>
  <si>
    <t>Column Labels</t>
  </si>
  <si>
    <t>245 Sunny Lane</t>
  </si>
  <si>
    <t>Tampa, Florida 33601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</si>
</sst>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numFmts count="5">
    <numFmt numFmtId="8" formatCode="&quot;$&quot;#,##0.00_);[Red]\(&quot;$&quot;#,##0.00\)"/>
    <numFmt numFmtId="44" formatCode="_(&quot;$&quot;* #,##0.00_);_(&quot;$&quot;* \(#,##0.00\);_(&quot;$&quot;* &quot;-&quot;??_);_(@_)"/>
    <numFmt numFmtId="43" formatCode="_(* #,##0.00_);_(* \(#,##0.00\);_(* &quot;-&quot;??_);_(@_)"/>
    <numFmt numFmtId="164" formatCode="#,##0.00;[Green]\ \(#,##0.00\)"/>
    <numFmt numFmtId="165" formatCode="&quot;$&quot;#,##0.00"/>
  </numFmts>
  <fonts count="10" x14ac:knownFonts="1">
    <font>
      <sz val="11"/>
      <color theme="1"/>
      <name val="Calibri"/>
      <family val="2"/>
      <scheme val="minor"/>
    </font>
    <font>
      <sz val="11"/>
      <color theme="1"/>
      <name val="Calibri"/>
      <family val="2"/>
      <scheme val="minor"/>
    </font>
    <font>
      <b/>
      <sz val="11"/>
      <color theme="3"/>
      <name val="Calibri"/>
      <family val="2"/>
      <scheme val="minor"/>
    </font>
    <font>
      <b/>
      <sz val="11"/>
      <color theme="1"/>
      <name val="Calibri"/>
      <family val="2"/>
      <scheme val="minor"/>
    </font>
    <font>
      <sz val="24"/>
      <color theme="1"/>
      <name val="Times New Roman"/>
      <family val="1"/>
    </font>
    <font>
      <sz val="11"/>
      <color theme="1"/>
      <name val="Times New Roman"/>
      <family val="1"/>
    </font>
    <font>
      <sz val="12"/>
      <color theme="1"/>
      <name val="Times New Roman"/>
      <family val="1"/>
    </font>
    <font>
      <sz val="18"/>
      <color theme="1"/>
      <name val="Times New Roman"/>
      <family val="1"/>
    </font>
    <font>
      <b/>
      <sz val="12"/>
      <color theme="1"/>
      <name val="Times New Roman"/>
      <family val="1"/>
    </font>
    <font>
      <b/>
      <i/>
      <sz val="16"/>
      <color theme="1"/>
      <name val="Times New Roman"/>
      <family val="1"/>
    </font>
  </fonts>
  <fills count="3">
    <fill>
      <patternFill patternType="none"/>
    </fill>
    <fill>
      <patternFill patternType="gray125"/>
    </fill>
    <fill>
      <patternFill patternType="solid">
        <fgColor theme="2" tint="-9.9978637043366805E-2"/>
        <bgColor indexed="64"/>
      </patternFill>
    </fill>
  </fills>
  <borders count="11">
    <border>
      <left/>
      <right/>
      <top/>
      <bottom/>
      <diagonal/>
    </border>
    <border>
      <left/>
      <right/>
      <top/>
      <bottom style="medium">
        <color theme="4" tint="0.39997558519241921"/>
      </bottom>
      <diagonal/>
    </border>
    <border>
      <left/>
      <right/>
      <top style="thin">
        <color theme="4"/>
      </top>
      <bottom style="double">
        <color theme="4"/>
      </bottom>
      <diagonal/>
    </border>
    <border>
      <left style="medium">
        <color indexed="64"/>
      </left>
      <right/>
      <top style="medium">
        <color indexed="64"/>
      </top>
      <bottom/>
      <diagonal/>
    </border>
    <border>
      <left/>
      <right/>
      <top style="medium">
        <color indexed="64"/>
      </top>
      <bottom/>
      <diagonal/>
    </border>
    <border>
      <left/>
      <right style="medium">
        <color indexed="64"/>
      </right>
      <top style="medium">
        <color indexed="64"/>
      </top>
      <bottom/>
      <diagonal/>
    </border>
    <border>
      <left style="medium">
        <color indexed="64"/>
      </left>
      <right/>
      <top/>
      <bottom style="medium">
        <color indexed="64"/>
      </bottom>
      <diagonal/>
    </border>
    <border>
      <left/>
      <right/>
      <top/>
      <bottom style="medium">
        <color indexed="64"/>
      </bottom>
      <diagonal/>
    </border>
    <border>
      <left/>
      <right style="medium">
        <color indexed="64"/>
      </right>
      <top/>
      <bottom style="medium">
        <color indexed="64"/>
      </bottom>
      <diagonal/>
    </border>
    <border>
      <left style="medium">
        <color indexed="64"/>
      </left>
      <right/>
      <top/>
      <bottom/>
      <diagonal/>
    </border>
    <border>
      <left/>
      <right style="medium">
        <color indexed="64"/>
      </right>
      <top/>
      <bottom/>
      <diagonal/>
    </border>
  </borders>
  <cellStyleXfs count="5">
    <xf numFmtId="0" fontId="0" fillId="0" borderId="0"/>
    <xf numFmtId="44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0" fontId="2" fillId="0" borderId="1" applyNumberFormat="0" applyFill="0" applyAlignment="0" applyProtection="0"/>
    <xf numFmtId="0" fontId="3" fillId="0" borderId="2" applyNumberFormat="0" applyFill="0" applyAlignment="0" applyProtection="0"/>
  </cellStyleXfs>
  <cellXfs count="38">
    <xf numFmtId="0" fontId="0" fillId="0" borderId="0" xfId="0"/>
    <xf numFmtId="0" fontId="5" fillId="0" borderId="0" xfId="0" applyFont="1"/>
    <xf numFmtId="0" fontId="6" fillId="0" borderId="0" xfId="0" applyFont="1"/>
    <xf numFmtId="8" fontId="6" fillId="0" borderId="0" xfId="0" applyNumberFormat="1" applyFont="1"/>
    <xf numFmtId="2" fontId="6" fillId="0" borderId="0" xfId="0" applyNumberFormat="1" applyFont="1"/>
    <xf numFmtId="164" fontId="6" fillId="0" borderId="0" xfId="0" applyNumberFormat="1" applyFont="1"/>
    <xf numFmtId="0" fontId="2" fillId="0" borderId="1" xfId="3" applyAlignment="1">
      <alignment horizontal="center"/>
    </xf>
    <xf numFmtId="0" fontId="2" fillId="0" borderId="1" xfId="3" applyAlignment="1">
      <alignment horizontal="center" wrapText="1"/>
    </xf>
    <xf numFmtId="165" fontId="6" fillId="0" borderId="0" xfId="0" applyNumberFormat="1" applyFont="1"/>
    <xf numFmtId="165" fontId="6" fillId="0" borderId="0" xfId="1" applyNumberFormat="1" applyFont="1"/>
    <xf numFmtId="4" fontId="6" fillId="0" borderId="0" xfId="0" applyNumberFormat="1" applyFont="1"/>
    <xf numFmtId="43" fontId="6" fillId="0" borderId="0" xfId="2" applyFont="1"/>
    <xf numFmtId="0" fontId="8" fillId="0" borderId="2" xfId="4" applyFont="1"/>
    <xf numFmtId="165" fontId="8" fillId="0" borderId="2" xfId="4" applyNumberFormat="1" applyFont="1"/>
    <xf numFmtId="43" fontId="6" fillId="0" borderId="0" xfId="2" applyFont="1" applyFill="1"/>
    <xf numFmtId="0" fontId="0" fillId="0" borderId="0" xfId="0" pivotButton="1"/>
    <xf numFmtId="9" fontId="0" fillId="0" borderId="0" xfId="0" applyNumberFormat="1"/>
    <xf numFmtId="0" fontId="9" fillId="2" borderId="3" xfId="0" applyFont="1" applyFill="1" applyBorder="1"/>
    <xf numFmtId="0" fontId="5" fillId="2" borderId="4" xfId="0" applyFont="1" applyFill="1" applyBorder="1"/>
    <xf numFmtId="0" fontId="5" fillId="2" borderId="5" xfId="0" applyFont="1" applyFill="1" applyBorder="1"/>
    <xf numFmtId="0" fontId="9" fillId="2" borderId="9" xfId="0" applyFont="1" applyFill="1" applyBorder="1"/>
    <xf numFmtId="0" fontId="5" fillId="2" borderId="0" xfId="0" applyFont="1" applyFill="1" applyBorder="1"/>
    <xf numFmtId="0" fontId="5" fillId="2" borderId="10" xfId="0" applyFont="1" applyFill="1" applyBorder="1"/>
    <xf numFmtId="0" fontId="9" fillId="2" borderId="6" xfId="0" applyFont="1" applyFill="1" applyBorder="1"/>
    <xf numFmtId="0" fontId="5" fillId="2" borderId="7" xfId="0" applyFont="1" applyFill="1" applyBorder="1"/>
    <xf numFmtId="0" fontId="5" fillId="2" borderId="8" xfId="0" applyFont="1" applyFill="1" applyBorder="1"/>
    <xf numFmtId="0" fontId="0" fillId="2" borderId="4" xfId="0" applyFill="1" applyBorder="1"/>
    <xf numFmtId="0" fontId="0" fillId="2" borderId="5" xfId="0" applyFill="1" applyBorder="1"/>
    <xf numFmtId="0" fontId="0" fillId="2" borderId="0" xfId="0" applyFill="1" applyBorder="1"/>
    <xf numFmtId="0" fontId="0" fillId="2" borderId="10" xfId="0" applyFill="1" applyBorder="1"/>
    <xf numFmtId="0" fontId="0" fillId="2" borderId="7" xfId="0" applyFill="1" applyBorder="1"/>
    <xf numFmtId="0" fontId="0" fillId="2" borderId="8" xfId="0" applyFill="1" applyBorder="1"/>
    <xf numFmtId="0" fontId="4" fillId="2" borderId="3" xfId="0" applyFont="1" applyFill="1" applyBorder="1" applyAlignment="1">
      <alignment horizontal="center"/>
    </xf>
    <xf numFmtId="0" fontId="4" fillId="2" borderId="4" xfId="0" applyFont="1" applyFill="1" applyBorder="1" applyAlignment="1">
      <alignment horizontal="center"/>
    </xf>
    <xf numFmtId="0" fontId="4" fillId="2" borderId="5" xfId="0" applyFont="1" applyFill="1" applyBorder="1" applyAlignment="1">
      <alignment horizontal="center"/>
    </xf>
    <xf numFmtId="0" fontId="7" fillId="2" borderId="6" xfId="0" applyFont="1" applyFill="1" applyBorder="1" applyAlignment="1">
      <alignment horizontal="center"/>
    </xf>
    <xf numFmtId="0" fontId="7" fillId="2" borderId="7" xfId="0" applyFont="1" applyFill="1" applyBorder="1" applyAlignment="1">
      <alignment horizontal="center"/>
    </xf>
    <xf numFmtId="0" fontId="7" fillId="2" borderId="8" xfId="0" applyFont="1" applyFill="1" applyBorder="1" applyAlignment="1">
      <alignment horizontal="center"/>
    </xf>
  </cellXfs>
  <cellStyles count="5">
    <cellStyle name="Comma" xfId="2" builtinId="3"/>
    <cellStyle name="Currency" xfId="1" builtinId="4"/>
    <cellStyle name="Heading 3" xfId="3" builtinId="18"/>
    <cellStyle name="Normal" xfId="0" builtinId="0"/>
    <cellStyle name="Total" xfId="4" builtinId="25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pivotCacheDefinition" Target="pivotCache/pivotCacheDefinition1.xml"/><Relationship Id="rId3" Type="http://schemas.openxmlformats.org/officeDocument/2006/relationships/worksheet" Target="worksheets/sheet3.xml"/><Relationship Id="rId7" Type="http://schemas.openxmlformats.org/officeDocument/2006/relationships/worksheet" Target="worksheets/sheet7.xml"/><Relationship Id="rId12" Type="http://schemas.openxmlformats.org/officeDocument/2006/relationships/calcChain" Target="calcChain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worksheet" Target="worksheets/sheet6.xml"/><Relationship Id="rId11" Type="http://schemas.openxmlformats.org/officeDocument/2006/relationships/sharedStrings" Target="sharedStrings.xml"/><Relationship Id="rId5" Type="http://schemas.openxmlformats.org/officeDocument/2006/relationships/worksheet" Target="worksheets/sheet5.xml"/><Relationship Id="rId10" Type="http://schemas.openxmlformats.org/officeDocument/2006/relationships/styles" Target="styles.xml"/><Relationship Id="rId4" Type="http://schemas.openxmlformats.org/officeDocument/2006/relationships/worksheet" Target="worksheets/sheet4.xml"/><Relationship Id="rId9" Type="http://schemas.openxmlformats.org/officeDocument/2006/relationships/theme" Target="theme/theme1.xml"/></Relationships>
</file>

<file path=xl/charts/_rels/chart1.xml.rels><?xml version="1.0" encoding="UTF-8" standalone="yes"?>
<Relationships xmlns="http://schemas.openxmlformats.org/package/2006/relationships"><Relationship Id="rId2" Type="http://schemas.microsoft.com/office/2011/relationships/chartColorStyle" Target="colors1.xml"/><Relationship Id="rId1" Type="http://schemas.microsoft.com/office/2011/relationships/chartStyle" Target="style1.xml"/></Relationships>
</file>

<file path=xl/charts/chart1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U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pivotSource>
    <c:name>[235_AdvSpreadsheet_N_2019Key.xlsx]Pivot_Chart!PivotTable4</c:name>
    <c:fmtId val="0"/>
  </c:pivotSource>
  <c:chart>
    <c:autoTitleDeleted val="1"/>
    <c:pivotFmts>
      <c:pivotFmt>
        <c:idx val="0"/>
      </c:pivotFmt>
      <c:pivotFmt>
        <c:idx val="1"/>
        <c:dLbl>
          <c:idx val="0"/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2"/>
        <c:spPr>
          <a:pattFill prst="narHorz">
            <a:fgClr>
              <a:schemeClr val="accent1"/>
            </a:fgClr>
            <a:bgClr>
              <a:schemeClr val="accent1">
                <a:lumMod val="20000"/>
                <a:lumOff val="80000"/>
              </a:schemeClr>
            </a:bgClr>
          </a:pattFill>
          <a:ln>
            <a:noFill/>
          </a:ln>
          <a:effectLst>
            <a:innerShdw blurRad="114300">
              <a:schemeClr val="accent1"/>
            </a:innerShdw>
          </a:effectLst>
        </c:spPr>
        <c:marker>
          <c:symbol val="none"/>
        </c:marker>
      </c:pivotFmt>
      <c:pivotFmt>
        <c:idx val="3"/>
        <c:spPr>
          <a:pattFill prst="narHorz">
            <a:fgClr>
              <a:schemeClr val="accent1"/>
            </a:fgClr>
            <a:bgClr>
              <a:schemeClr val="accent1">
                <a:lumMod val="20000"/>
                <a:lumOff val="80000"/>
              </a:schemeClr>
            </a:bgClr>
          </a:pattFill>
          <a:ln>
            <a:noFill/>
          </a:ln>
          <a:effectLst>
            <a:innerShdw blurRad="114300">
              <a:schemeClr val="accent1"/>
            </a:innerShdw>
          </a:effectLst>
        </c:spPr>
        <c:marker>
          <c:symbol val="none"/>
        </c:marker>
      </c:pivotFmt>
      <c:pivotFmt>
        <c:idx val="4"/>
        <c:spPr>
          <a:pattFill prst="narHorz">
            <a:fgClr>
              <a:schemeClr val="accent1"/>
            </a:fgClr>
            <a:bgClr>
              <a:schemeClr val="accent1">
                <a:lumMod val="20000"/>
                <a:lumOff val="80000"/>
              </a:schemeClr>
            </a:bgClr>
          </a:pattFill>
          <a:ln>
            <a:noFill/>
          </a:ln>
          <a:effectLst>
            <a:innerShdw blurRad="114300">
              <a:schemeClr val="accent1"/>
            </a:innerShdw>
          </a:effectLst>
        </c:spPr>
        <c:marker>
          <c:symbol val="none"/>
        </c:marker>
      </c:pivotFmt>
      <c:pivotFmt>
        <c:idx val="5"/>
        <c:spPr>
          <a:pattFill prst="narHorz">
            <a:fgClr>
              <a:schemeClr val="accent1"/>
            </a:fgClr>
            <a:bgClr>
              <a:schemeClr val="accent1">
                <a:lumMod val="20000"/>
                <a:lumOff val="80000"/>
              </a:schemeClr>
            </a:bgClr>
          </a:pattFill>
          <a:ln>
            <a:noFill/>
          </a:ln>
          <a:effectLst>
            <a:innerShdw blurRad="114300">
              <a:schemeClr val="accent1"/>
            </a:innerShdw>
          </a:effectLst>
        </c:spPr>
        <c:marker>
          <c:symbol val="none"/>
        </c:marker>
      </c:pivotFmt>
      <c:pivotFmt>
        <c:idx val="6"/>
        <c:spPr>
          <a:pattFill prst="narHorz">
            <a:fgClr>
              <a:schemeClr val="accent1"/>
            </a:fgClr>
            <a:bgClr>
              <a:schemeClr val="accent1">
                <a:lumMod val="20000"/>
                <a:lumOff val="80000"/>
              </a:schemeClr>
            </a:bgClr>
          </a:pattFill>
          <a:ln>
            <a:noFill/>
          </a:ln>
          <a:effectLst>
            <a:innerShdw blurRad="114300">
              <a:schemeClr val="accent1"/>
            </a:innerShdw>
          </a:effectLst>
        </c:spPr>
        <c:marker>
          <c:symbol val="none"/>
        </c:marker>
      </c:pivotFmt>
      <c:pivotFmt>
        <c:idx val="7"/>
        <c:spPr>
          <a:pattFill prst="narHorz">
            <a:fgClr>
              <a:schemeClr val="accent1"/>
            </a:fgClr>
            <a:bgClr>
              <a:schemeClr val="accent1">
                <a:lumMod val="20000"/>
                <a:lumOff val="80000"/>
              </a:schemeClr>
            </a:bgClr>
          </a:pattFill>
          <a:ln>
            <a:noFill/>
          </a:ln>
          <a:effectLst>
            <a:innerShdw blurRad="114300">
              <a:schemeClr val="accent1"/>
            </a:innerShdw>
          </a:effectLst>
        </c:spPr>
        <c:marker>
          <c:symbol val="none"/>
        </c:marker>
      </c:pivotFmt>
      <c:pivotFmt>
        <c:idx val="8"/>
        <c:spPr>
          <a:pattFill prst="narHorz">
            <a:fgClr>
              <a:schemeClr val="accent1"/>
            </a:fgClr>
            <a:bgClr>
              <a:schemeClr val="accent1">
                <a:lumMod val="20000"/>
                <a:lumOff val="80000"/>
              </a:schemeClr>
            </a:bgClr>
          </a:pattFill>
          <a:ln>
            <a:noFill/>
          </a:ln>
          <a:effectLst>
            <a:innerShdw blurRad="114300">
              <a:schemeClr val="accent1"/>
            </a:innerShdw>
          </a:effectLst>
        </c:spPr>
        <c:marker>
          <c:symbol val="none"/>
        </c:marker>
      </c:pivotFmt>
    </c:pivotFmts>
    <c:plotArea>
      <c:layout/>
      <c:barChart>
        <c:barDir val="col"/>
        <c:grouping val="clustered"/>
        <c:varyColors val="0"/>
        <c:ser>
          <c:idx val="0"/>
          <c:order val="0"/>
          <c:tx>
            <c:strRef>
              <c:f>Pivot_Chart!$B$1:$B$2</c:f>
              <c:strCache>
                <c:ptCount val="1"/>
                <c:pt idx="0">
                  <c:v>A&amp;G</c:v>
                </c:pt>
              </c:strCache>
            </c:strRef>
          </c:tx>
          <c:spPr>
            <a:pattFill prst="narHorz">
              <a:fgClr>
                <a:schemeClr val="accent1"/>
              </a:fgClr>
              <a:bgClr>
                <a:schemeClr val="accent1">
                  <a:lumMod val="20000"/>
                  <a:lumOff val="80000"/>
                </a:schemeClr>
              </a:bgClr>
            </a:pattFill>
            <a:ln>
              <a:noFill/>
            </a:ln>
            <a:effectLst>
              <a:innerShdw blurRad="114300">
                <a:schemeClr val="accent1"/>
              </a:innerShdw>
            </a:effectLst>
          </c:spPr>
          <c:invertIfNegative val="0"/>
          <c:cat>
            <c:strRef>
              <c:f>Pivot_Chart!$A$3</c:f>
              <c:strCache>
                <c:ptCount val="1"/>
                <c:pt idx="0">
                  <c:v>Total</c:v>
                </c:pt>
              </c:strCache>
            </c:strRef>
          </c:cat>
          <c:val>
            <c:numRef>
              <c:f>Pivot_Chart!$B$3</c:f>
              <c:numCache>
                <c:formatCode>0%</c:formatCode>
                <c:ptCount val="1"/>
                <c:pt idx="0">
                  <c:v>2.2948397296751348E-2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13-4129-4F82-941B-689137AFD479}"/>
            </c:ext>
          </c:extLst>
        </c:ser>
        <c:ser>
          <c:idx val="1"/>
          <c:order val="1"/>
          <c:tx>
            <c:strRef>
              <c:f>Pivot_Chart!$C$1:$C$2</c:f>
              <c:strCache>
                <c:ptCount val="1"/>
                <c:pt idx="0">
                  <c:v>Aquage</c:v>
                </c:pt>
              </c:strCache>
            </c:strRef>
          </c:tx>
          <c:spPr>
            <a:pattFill prst="narHorz">
              <a:fgClr>
                <a:schemeClr val="accent2"/>
              </a:fgClr>
              <a:bgClr>
                <a:schemeClr val="accent2">
                  <a:lumMod val="20000"/>
                  <a:lumOff val="80000"/>
                </a:schemeClr>
              </a:bgClr>
            </a:pattFill>
            <a:ln>
              <a:noFill/>
            </a:ln>
            <a:effectLst>
              <a:innerShdw blurRad="114300">
                <a:schemeClr val="accent2"/>
              </a:innerShdw>
            </a:effectLst>
          </c:spPr>
          <c:invertIfNegative val="0"/>
          <c:cat>
            <c:strRef>
              <c:f>Pivot_Chart!$A$3</c:f>
              <c:strCache>
                <c:ptCount val="1"/>
                <c:pt idx="0">
                  <c:v>Total</c:v>
                </c:pt>
              </c:strCache>
            </c:strRef>
          </c:cat>
          <c:val>
            <c:numRef>
              <c:f>Pivot_Chart!$C$3</c:f>
              <c:numCache>
                <c:formatCode>0%</c:formatCode>
                <c:ptCount val="1"/>
                <c:pt idx="0">
                  <c:v>0.17679052843828974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26-4129-4F82-941B-689137AFD479}"/>
            </c:ext>
          </c:extLst>
        </c:ser>
        <c:ser>
          <c:idx val="2"/>
          <c:order val="2"/>
          <c:tx>
            <c:strRef>
              <c:f>Pivot_Chart!$D$1:$D$2</c:f>
              <c:strCache>
                <c:ptCount val="1"/>
                <c:pt idx="0">
                  <c:v>Biometrix</c:v>
                </c:pt>
              </c:strCache>
            </c:strRef>
          </c:tx>
          <c:spPr>
            <a:pattFill prst="narHorz">
              <a:fgClr>
                <a:schemeClr val="accent3"/>
              </a:fgClr>
              <a:bgClr>
                <a:schemeClr val="accent3">
                  <a:lumMod val="20000"/>
                  <a:lumOff val="80000"/>
                </a:schemeClr>
              </a:bgClr>
            </a:pattFill>
            <a:ln>
              <a:noFill/>
            </a:ln>
            <a:effectLst>
              <a:innerShdw blurRad="114300">
                <a:schemeClr val="accent3"/>
              </a:innerShdw>
            </a:effectLst>
          </c:spPr>
          <c:invertIfNegative val="0"/>
          <c:cat>
            <c:strRef>
              <c:f>Pivot_Chart!$A$3</c:f>
              <c:strCache>
                <c:ptCount val="1"/>
                <c:pt idx="0">
                  <c:v>Total</c:v>
                </c:pt>
              </c:strCache>
            </c:strRef>
          </c:cat>
          <c:val>
            <c:numRef>
              <c:f>Pivot_Chart!$D$3</c:f>
              <c:numCache>
                <c:formatCode>0%</c:formatCode>
                <c:ptCount val="1"/>
                <c:pt idx="0">
                  <c:v>-2.0432397798096486E-2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27-4129-4F82-941B-689137AFD479}"/>
            </c:ext>
          </c:extLst>
        </c:ser>
        <c:ser>
          <c:idx val="3"/>
          <c:order val="3"/>
          <c:tx>
            <c:strRef>
              <c:f>Pivot_Chart!$E$1:$E$2</c:f>
              <c:strCache>
                <c:ptCount val="1"/>
                <c:pt idx="0">
                  <c:v>Kenra</c:v>
                </c:pt>
              </c:strCache>
            </c:strRef>
          </c:tx>
          <c:spPr>
            <a:pattFill prst="narHorz">
              <a:fgClr>
                <a:schemeClr val="accent4"/>
              </a:fgClr>
              <a:bgClr>
                <a:schemeClr val="accent4">
                  <a:lumMod val="20000"/>
                  <a:lumOff val="80000"/>
                </a:schemeClr>
              </a:bgClr>
            </a:pattFill>
            <a:ln>
              <a:noFill/>
            </a:ln>
            <a:effectLst>
              <a:innerShdw blurRad="114300">
                <a:schemeClr val="accent4"/>
              </a:innerShdw>
            </a:effectLst>
          </c:spPr>
          <c:invertIfNegative val="0"/>
          <c:cat>
            <c:strRef>
              <c:f>Pivot_Chart!$A$3</c:f>
              <c:strCache>
                <c:ptCount val="1"/>
                <c:pt idx="0">
                  <c:v>Total</c:v>
                </c:pt>
              </c:strCache>
            </c:strRef>
          </c:cat>
          <c:val>
            <c:numRef>
              <c:f>Pivot_Chart!$E$3</c:f>
              <c:numCache>
                <c:formatCode>0%</c:formatCode>
                <c:ptCount val="1"/>
                <c:pt idx="0">
                  <c:v>0.16962848160763927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28-4129-4F82-941B-689137AFD479}"/>
            </c:ext>
          </c:extLst>
        </c:ser>
        <c:ser>
          <c:idx val="4"/>
          <c:order val="4"/>
          <c:tx>
            <c:strRef>
              <c:f>Pivot_Chart!$F$1:$F$2</c:f>
              <c:strCache>
                <c:ptCount val="1"/>
                <c:pt idx="0">
                  <c:v>Matrix</c:v>
                </c:pt>
              </c:strCache>
            </c:strRef>
          </c:tx>
          <c:spPr>
            <a:pattFill prst="narHorz">
              <a:fgClr>
                <a:schemeClr val="accent5"/>
              </a:fgClr>
              <a:bgClr>
                <a:schemeClr val="accent5">
                  <a:lumMod val="20000"/>
                  <a:lumOff val="80000"/>
                </a:schemeClr>
              </a:bgClr>
            </a:pattFill>
            <a:ln>
              <a:noFill/>
            </a:ln>
            <a:effectLst>
              <a:innerShdw blurRad="114300">
                <a:schemeClr val="accent5"/>
              </a:innerShdw>
            </a:effectLst>
          </c:spPr>
          <c:invertIfNegative val="0"/>
          <c:cat>
            <c:strRef>
              <c:f>Pivot_Chart!$A$3</c:f>
              <c:strCache>
                <c:ptCount val="1"/>
                <c:pt idx="0">
                  <c:v>Total</c:v>
                </c:pt>
              </c:strCache>
            </c:strRef>
          </c:cat>
          <c:val>
            <c:numRef>
              <c:f>Pivot_Chart!$F$3</c:f>
              <c:numCache>
                <c:formatCode>0%</c:formatCode>
                <c:ptCount val="1"/>
                <c:pt idx="0">
                  <c:v>0.1519007091778197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29-4129-4F82-941B-689137AFD479}"/>
            </c:ext>
          </c:extLst>
        </c:ser>
        <c:ser>
          <c:idx val="5"/>
          <c:order val="5"/>
          <c:tx>
            <c:strRef>
              <c:f>Pivot_Chart!$G$1:$G$2</c:f>
              <c:strCache>
                <c:ptCount val="1"/>
                <c:pt idx="0">
                  <c:v>Paul Mitchell</c:v>
                </c:pt>
              </c:strCache>
            </c:strRef>
          </c:tx>
          <c:spPr>
            <a:pattFill prst="narHorz">
              <a:fgClr>
                <a:schemeClr val="accent6"/>
              </a:fgClr>
              <a:bgClr>
                <a:schemeClr val="accent6">
                  <a:lumMod val="20000"/>
                  <a:lumOff val="80000"/>
                </a:schemeClr>
              </a:bgClr>
            </a:pattFill>
            <a:ln>
              <a:noFill/>
            </a:ln>
            <a:effectLst>
              <a:innerShdw blurRad="114300">
                <a:schemeClr val="accent6"/>
              </a:innerShdw>
            </a:effectLst>
          </c:spPr>
          <c:invertIfNegative val="0"/>
          <c:cat>
            <c:strRef>
              <c:f>Pivot_Chart!$A$3</c:f>
              <c:strCache>
                <c:ptCount val="1"/>
                <c:pt idx="0">
                  <c:v>Total</c:v>
                </c:pt>
              </c:strCache>
            </c:strRef>
          </c:cat>
          <c:val>
            <c:numRef>
              <c:f>Pivot_Chart!$G$3</c:f>
              <c:numCache>
                <c:formatCode>0%</c:formatCode>
                <c:ptCount val="1"/>
                <c:pt idx="0">
                  <c:v>0.1874432532981562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2A-4129-4F82-941B-689137AFD479}"/>
            </c:ext>
          </c:extLst>
        </c:ser>
        <c:ser>
          <c:idx val="6"/>
          <c:order val="6"/>
          <c:tx>
            <c:strRef>
              <c:f>Pivot_Chart!$H$1:$H$2</c:f>
              <c:strCache>
                <c:ptCount val="1"/>
                <c:pt idx="0">
                  <c:v>Redken</c:v>
                </c:pt>
              </c:strCache>
            </c:strRef>
          </c:tx>
          <c:spPr>
            <a:pattFill prst="narHorz">
              <a:fgClr>
                <a:schemeClr val="accent1">
                  <a:lumMod val="60000"/>
                </a:schemeClr>
              </a:fgClr>
              <a:bgClr>
                <a:schemeClr val="accent1">
                  <a:lumMod val="60000"/>
                  <a:lumMod val="20000"/>
                  <a:lumOff val="80000"/>
                </a:schemeClr>
              </a:bgClr>
            </a:pattFill>
            <a:ln>
              <a:noFill/>
            </a:ln>
            <a:effectLst>
              <a:innerShdw blurRad="114300">
                <a:schemeClr val="accent1">
                  <a:lumMod val="60000"/>
                </a:schemeClr>
              </a:innerShdw>
            </a:effectLst>
          </c:spPr>
          <c:invertIfNegative val="0"/>
          <c:cat>
            <c:strRef>
              <c:f>Pivot_Chart!$A$3</c:f>
              <c:strCache>
                <c:ptCount val="1"/>
                <c:pt idx="0">
                  <c:v>Total</c:v>
                </c:pt>
              </c:strCache>
            </c:strRef>
          </c:cat>
          <c:val>
            <c:numRef>
              <c:f>Pivot_Chart!$H$3</c:f>
              <c:numCache>
                <c:formatCode>0%</c:formatCode>
                <c:ptCount val="1"/>
                <c:pt idx="0">
                  <c:v>0.31172102797944012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2B-4129-4F82-941B-689137AFD479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gapWidth val="164"/>
        <c:overlap val="-22"/>
        <c:axId val="1088201312"/>
        <c:axId val="1088202096"/>
      </c:barChart>
      <c:catAx>
        <c:axId val="1088201312"/>
        <c:scaling>
          <c:orientation val="minMax"/>
        </c:scaling>
        <c:delete val="0"/>
        <c:axPos val="b"/>
        <c:numFmt formatCode="General" sourceLinked="1"/>
        <c:majorTickMark val="none"/>
        <c:minorTickMark val="none"/>
        <c:tickLblPos val="nextTo"/>
        <c:spPr>
          <a:noFill/>
          <a:ln w="19050" cap="flat" cmpd="sng" algn="ctr">
            <a:solidFill>
              <a:schemeClr val="tx1">
                <a:lumMod val="25000"/>
                <a:lumOff val="7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1088202096"/>
        <c:crosses val="autoZero"/>
        <c:auto val="1"/>
        <c:lblAlgn val="ctr"/>
        <c:lblOffset val="100"/>
        <c:noMultiLvlLbl val="0"/>
      </c:catAx>
      <c:valAx>
        <c:axId val="1088202096"/>
        <c:scaling>
          <c:orientation val="minMax"/>
        </c:scaling>
        <c:delete val="0"/>
        <c:axPos val="l"/>
        <c:numFmt formatCode="0%" sourceLinked="1"/>
        <c:majorTickMark val="none"/>
        <c:minorTickMark val="none"/>
        <c:tickLblPos val="nextTo"/>
        <c:spPr>
          <a:noFill/>
          <a:ln>
            <a:noFill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1088201312"/>
        <c:crosses val="autoZero"/>
        <c:crossBetween val="between"/>
      </c:valAx>
      <c:spPr>
        <a:noFill/>
        <a:ln>
          <a:noFill/>
        </a:ln>
        <a:effectLst/>
      </c:spPr>
    </c:plotArea>
    <c:legend>
      <c:legendPos val="r"/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900" b="0" i="0" u="none" strike="noStrike" kern="120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n-US"/>
        </a:p>
      </c:txPr>
    </c:legend>
    <c:plotVisOnly val="1"/>
    <c:dispBlanksAs val="gap"/>
    <c:showDLblsOverMax val="0"/>
  </c:chart>
  <c:spPr>
    <a:solidFill>
      <a:schemeClr val="bg1"/>
    </a:solidFill>
    <a:ln w="9525" cap="flat" cmpd="sng" algn="ctr">
      <a:solidFill>
        <a:schemeClr val="tx1">
          <a:lumMod val="15000"/>
          <a:lumOff val="85000"/>
        </a:schemeClr>
      </a:solidFill>
      <a:round/>
    </a:ln>
    <a:effectLst/>
  </c:spPr>
  <c:txPr>
    <a:bodyPr/>
    <a:lstStyle/>
    <a:p>
      <a:pPr>
        <a:defRPr/>
      </a:pPr>
      <a:endParaRPr lang="en-US"/>
    </a:p>
  </c:txPr>
  <c:printSettings>
    <c:headerFooter/>
    <c:pageMargins b="0.75" l="0.7" r="0.7" t="0.75" header="0.3" footer="0.3"/>
    <c:pageSetup orientation="landscape"/>
  </c:printSettings>
  <c:extLst>
    <c:ext xmlns:c14="http://schemas.microsoft.com/office/drawing/2007/8/2/chart" uri="{781A3756-C4B2-4CAC-9D66-4F8BD8637D16}">
      <c14:pivotOptions>
        <c14:dropZoneFilter val="1"/>
        <c14:dropZoneCategories val="1"/>
        <c14:dropZoneSeries val="1"/>
      </c14:pivotOptions>
    </c:ext>
    <c:ext xmlns:c16="http://schemas.microsoft.com/office/drawing/2014/chart" uri="{E28EC0CA-F0BB-4C9C-879D-F8772B89E7AC}">
      <c16:pivotOptions16>
        <c16:showExpandCollapseFieldButtons val="1"/>
      </c16:pivotOptions16>
    </c:ext>
  </c:extLst>
</c:chartSpace>
</file>

<file path=xl/charts/colors1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style1.xml><?xml version="1.0" encoding="utf-8"?>
<cs:chartStyle xmlns:cs="http://schemas.microsoft.com/office/drawing/2012/chartStyle" xmlns:a="http://schemas.openxmlformats.org/drawingml/2006/main" id="203">
  <cs:axisTitle>
    <cs:lnRef idx="0"/>
    <cs:fillRef idx="0"/>
    <cs:effectRef idx="0"/>
    <cs:fontRef idx="minor">
      <a:schemeClr val="tx1">
        <a:lumMod val="65000"/>
        <a:lumOff val="35000"/>
      </a:schemeClr>
    </cs:fontRef>
    <cs:defRPr sz="900" b="1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19050" cap="flat" cmpd="sng" algn="ctr">
        <a:solidFill>
          <a:schemeClr val="tx1">
            <a:lumMod val="25000"/>
            <a:lumOff val="7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dk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0">
      <cs:styleClr val="auto"/>
    </cs:fillRef>
    <cs:effectRef idx="0">
      <cs:styleClr val="auto"/>
    </cs:effectRef>
    <cs:fontRef idx="minor">
      <a:schemeClr val="dk1"/>
    </cs:fontRef>
    <cs:spPr>
      <a:pattFill prst="narHorz">
        <a:fgClr>
          <a:schemeClr val="phClr"/>
        </a:fgClr>
        <a:bgClr>
          <a:schemeClr val="phClr">
            <a:lumMod val="20000"/>
            <a:lumOff val="80000"/>
          </a:schemeClr>
        </a:bgClr>
      </a:pattFill>
      <a:effectLst>
        <a:innerShdw blurRad="114300">
          <a:schemeClr val="phClr"/>
        </a:innerShdw>
      </a:effectLst>
    </cs:spPr>
  </cs:dataPoint>
  <cs:dataPoint3D>
    <cs:lnRef idx="0"/>
    <cs:fillRef idx="0">
      <cs:styleClr val="auto"/>
    </cs:fillRef>
    <cs:effectRef idx="0"/>
    <cs:fontRef idx="minor">
      <a:schemeClr val="dk1"/>
    </cs:fontRef>
    <cs:spPr>
      <a:pattFill prst="narHorz">
        <a:fgClr>
          <a:schemeClr val="phClr"/>
        </a:fgClr>
        <a:bgClr>
          <a:schemeClr val="phClr">
            <a:lumMod val="20000"/>
            <a:lumOff val="80000"/>
          </a:schemeClr>
        </a:bgClr>
      </a:pattFill>
      <a:effectLst>
        <a:innerShdw blurRad="114300">
          <a:schemeClr val="phClr"/>
        </a:innerShdw>
      </a:effectLst>
    </cs:spPr>
  </cs:dataPoint3D>
  <cs:dataPointLine>
    <cs:lnRef idx="0">
      <cs:styleClr val="auto"/>
    </cs:lnRef>
    <cs:fillRef idx="0"/>
    <cs:effectRef idx="0"/>
    <cs:fontRef idx="minor">
      <a:schemeClr val="dk1"/>
    </cs:fontRef>
    <cs:spPr>
      <a:ln w="28575" cap="rnd">
        <a:solidFill>
          <a:schemeClr val="phClr"/>
        </a:solidFill>
        <a:round/>
      </a:ln>
    </cs:spPr>
  </cs:dataPointLine>
  <cs:dataPointMarker>
    <cs:lnRef idx="0"/>
    <cs:fillRef idx="0">
      <cs:styleClr val="auto"/>
    </cs:fillRef>
    <cs:effectRef idx="0"/>
    <cs:fontRef idx="minor">
      <a:schemeClr val="dk1"/>
    </cs:fontRef>
    <cs:spPr>
      <a:solidFill>
        <a:schemeClr val="phClr"/>
      </a:solidFill>
    </cs:spPr>
  </cs:dataPointMarker>
  <cs:dataPointMarkerLayout symbol="circle" size="6"/>
  <cs:dataPointWireframe>
    <cs:lnRef idx="0">
      <cs:styleClr val="auto"/>
    </cs:lnRef>
    <cs:fillRef idx="0"/>
    <cs:effectRef idx="0"/>
    <cs:fontRef idx="minor">
      <a:schemeClr val="dk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ln w="9525">
        <a:solidFill>
          <a:schemeClr val="tx1">
            <a:lumMod val="15000"/>
            <a:lumOff val="85000"/>
          </a:schemeClr>
        </a:solidFill>
      </a:ln>
    </cs:spPr>
    <cs:defRPr sz="900" kern="1200"/>
  </cs:dataTable>
  <cs:downBar>
    <cs:lnRef idx="0"/>
    <cs:fillRef idx="0"/>
    <cs:effectRef idx="0"/>
    <cs:fontRef idx="minor">
      <a:schemeClr val="dk1"/>
    </cs:fontRef>
    <cs:spPr>
      <a:solidFill>
        <a:schemeClr val="dk1">
          <a:lumMod val="75000"/>
          <a:lumOff val="25000"/>
        </a:schemeClr>
      </a:solidFill>
      <a:ln w="9525">
        <a:solidFill>
          <a:schemeClr val="tx1">
            <a:lumMod val="50000"/>
            <a:lumOff val="50000"/>
          </a:schemeClr>
        </a:solidFill>
      </a:ln>
    </cs:spPr>
  </cs:downBar>
  <cs:dropLine>
    <cs:lnRef idx="0"/>
    <cs:fillRef idx="0"/>
    <cs:effectRef idx="0"/>
    <cs:fontRef idx="minor">
      <a:schemeClr val="dk1"/>
    </cs:fontRef>
    <cs:spPr>
      <a:ln w="9525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dk1"/>
    </cs:fontRef>
    <cs:spPr>
      <a:ln w="9525">
        <a:solidFill>
          <a:schemeClr val="tx1">
            <a:lumMod val="50000"/>
            <a:lumOff val="50000"/>
          </a:schemeClr>
        </a:solidFill>
        <a:round/>
      </a:ln>
    </cs:spPr>
  </cs:errorBar>
  <cs:floor>
    <cs:lnRef idx="0"/>
    <cs:fillRef idx="0"/>
    <cs:effectRef idx="0"/>
    <cs:fontRef idx="minor">
      <a:schemeClr val="dk1"/>
    </cs:fontRef>
  </cs:floor>
  <cs:gridlineMajor>
    <cs:lnRef idx="0"/>
    <cs:fillRef idx="0"/>
    <cs:effectRef idx="0"/>
    <cs:fontRef idx="minor">
      <a:schemeClr val="dk1"/>
    </cs:fontRef>
    <cs:spPr>
      <a:ln>
        <a:solidFill>
          <a:schemeClr val="tx1">
            <a:lumMod val="15000"/>
            <a:lumOff val="85000"/>
          </a:schemeClr>
        </a:solidFill>
      </a:ln>
    </cs:spPr>
  </cs:gridlineMajor>
  <cs:gridlineMinor>
    <cs:lnRef idx="0"/>
    <cs:fillRef idx="0"/>
    <cs:effectRef idx="0"/>
    <cs:fontRef idx="minor">
      <a:schemeClr val="dk1"/>
    </cs:fontRef>
    <cs:spPr>
      <a:ln>
        <a:solidFill>
          <a:schemeClr val="tx1">
            <a:lumMod val="5000"/>
            <a:lumOff val="95000"/>
          </a:schemeClr>
        </a:solidFill>
      </a:ln>
    </cs:spPr>
  </cs:gridlineMinor>
  <cs:hiLoLine>
    <cs:lnRef idx="0"/>
    <cs:fillRef idx="0"/>
    <cs:effectRef idx="0"/>
    <cs:fontRef idx="minor">
      <a:schemeClr val="dk1"/>
    </cs:fontRef>
    <cs:spPr>
      <a:ln w="9525">
        <a:solidFill>
          <a:schemeClr val="tx1">
            <a:lumMod val="35000"/>
            <a:lumOff val="65000"/>
          </a:schemeClr>
        </a:solidFill>
        <a:round/>
      </a:ln>
    </cs:spPr>
  </cs:hiLoLine>
  <cs:leaderLine>
    <cs:lnRef idx="0"/>
    <cs:fillRef idx="0"/>
    <cs:effectRef idx="0"/>
    <cs:fontRef idx="minor">
      <a:schemeClr val="dk1"/>
    </cs:fontRef>
    <cs:spPr>
      <a:ln w="9525">
        <a:solidFill>
          <a:schemeClr val="tx1">
            <a:lumMod val="35000"/>
            <a:lumOff val="65000"/>
          </a:schemeClr>
        </a:solidFill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dk1"/>
    </cs:fontRef>
  </cs:plotArea>
  <cs:plotArea3D mods="allowNoFillOverride allowNoLineOverride">
    <cs:lnRef idx="0"/>
    <cs:fillRef idx="0"/>
    <cs:effectRef idx="0"/>
    <cs:fontRef idx="minor">
      <a:schemeClr val="dk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dk1"/>
    </cs:fontRef>
    <cs:spPr>
      <a:ln w="9525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50000"/>
        <a:lumOff val="50000"/>
      </a:schemeClr>
    </cs:fontRef>
    <cs:defRPr sz="1800" b="1" kern="1200" cap="all" spc="150" baseline="0"/>
  </cs:title>
  <cs:trendline>
    <cs:lnRef idx="0">
      <cs:styleClr val="auto"/>
    </cs:lnRef>
    <cs:fillRef idx="0"/>
    <cs:effectRef idx="0"/>
    <cs:fontRef idx="minor">
      <a:schemeClr val="dk1"/>
    </cs:fontRef>
    <cs:spPr>
      <a:ln w="19050" cap="rnd">
        <a:solidFill>
          <a:schemeClr val="phClr"/>
        </a:solidFill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dk1"/>
    </cs:fontRef>
    <cs:spPr>
      <a:solidFill>
        <a:schemeClr val="lt1"/>
      </a:solidFill>
      <a:ln w="9525">
        <a:solidFill>
          <a:schemeClr val="tx1">
            <a:lumMod val="50000"/>
            <a:lumOff val="50000"/>
          </a:schemeClr>
        </a:solidFill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valueAxis>
  <cs:wall>
    <cs:lnRef idx="0"/>
    <cs:fillRef idx="0"/>
    <cs:effectRef idx="0"/>
    <cs:fontRef idx="minor">
      <a:schemeClr val="dk1"/>
    </cs:fontRef>
  </cs:wall>
</cs:chartStyle>
</file>

<file path=xl/drawings/_rels/drawing1.xml.rels><?xml version="1.0" encoding="UTF-8" standalone="yes"?>
<Relationships xmlns="http://schemas.openxmlformats.org/package/2006/relationships"><Relationship Id="rId1" Type="http://schemas.openxmlformats.org/officeDocument/2006/relationships/image" Target="../media/image1.PNG"/></Relationships>
</file>

<file path=xl/drawings/_rels/drawing2.xml.rels><?xml version="1.0" encoding="UTF-8" standalone="yes"?>
<Relationships xmlns="http://schemas.openxmlformats.org/package/2006/relationships"><Relationship Id="rId1" Type="http://schemas.openxmlformats.org/officeDocument/2006/relationships/chart" Target="../charts/chart1.xml"/></Relationships>
</file>

<file path=xl/drawings/_rels/drawing3.xml.rels><?xml version="1.0" encoding="UTF-8" standalone="yes"?>
<Relationships xmlns="http://schemas.openxmlformats.org/package/2006/relationships"><Relationship Id="rId1" Type="http://schemas.openxmlformats.org/officeDocument/2006/relationships/image" Target="../media/image2.PNG"/></Relationships>
</file>

<file path=xl/drawings/drawing1.xml><?xml version="1.0" encoding="utf-8"?>
<xdr:wsDr xmlns:xdr="http://schemas.openxmlformats.org/drawingml/2006/spreadsheetDrawing" xmlns:a="http://schemas.openxmlformats.org/drawingml/2006/main">
  <xdr:twoCellAnchor editAs="oneCell">
    <xdr:from>
      <xdr:col>0</xdr:col>
      <xdr:colOff>0</xdr:colOff>
      <xdr:row>3</xdr:row>
      <xdr:rowOff>0</xdr:rowOff>
    </xdr:from>
    <xdr:to>
      <xdr:col>14</xdr:col>
      <xdr:colOff>296507</xdr:colOff>
      <xdr:row>19</xdr:row>
      <xdr:rowOff>95689</xdr:rowOff>
    </xdr:to>
    <xdr:pic>
      <xdr:nvPicPr>
        <xdr:cNvPr id="2" name="Picture 1"/>
        <xdr:cNvPicPr>
          <a:picLocks noChangeAspect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0" y="571500"/>
          <a:ext cx="8830907" cy="3143689"/>
        </a:xfrm>
        <a:prstGeom prst="rect">
          <a:avLst/>
        </a:prstGeom>
      </xdr:spPr>
    </xdr:pic>
    <xdr:clientData/>
  </xdr:twoCellAnchor>
</xdr:wsDr>
</file>

<file path=xl/drawings/drawing2.xml><?xml version="1.0" encoding="utf-8"?>
<xdr:wsDr xmlns:xdr="http://schemas.openxmlformats.org/drawingml/2006/spreadsheetDrawing" xmlns:a="http://schemas.openxmlformats.org/drawingml/2006/main">
  <xdr:twoCellAnchor>
    <xdr:from>
      <xdr:col>0</xdr:col>
      <xdr:colOff>0</xdr:colOff>
      <xdr:row>4</xdr:row>
      <xdr:rowOff>171450</xdr:rowOff>
    </xdr:from>
    <xdr:to>
      <xdr:col>9</xdr:col>
      <xdr:colOff>0</xdr:colOff>
      <xdr:row>19</xdr:row>
      <xdr:rowOff>19050</xdr:rowOff>
    </xdr:to>
    <xdr:graphicFrame macro="">
      <xdr:nvGraphicFramePr>
        <xdr:cNvPr id="2" name="Chart 1"/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twoCellAnchor>
</xdr:wsDr>
</file>

<file path=xl/drawings/drawing3.xml><?xml version="1.0" encoding="utf-8"?>
<xdr:wsDr xmlns:xdr="http://schemas.openxmlformats.org/drawingml/2006/spreadsheetDrawing" xmlns:a="http://schemas.openxmlformats.org/drawingml/2006/main">
  <xdr:twoCellAnchor editAs="oneCell">
    <xdr:from>
      <xdr:col>0</xdr:col>
      <xdr:colOff>0</xdr:colOff>
      <xdr:row>0</xdr:row>
      <xdr:rowOff>0</xdr:rowOff>
    </xdr:from>
    <xdr:to>
      <xdr:col>12</xdr:col>
      <xdr:colOff>590550</xdr:colOff>
      <xdr:row>33</xdr:row>
      <xdr:rowOff>10404</xdr:rowOff>
    </xdr:to>
    <xdr:pic>
      <xdr:nvPicPr>
        <xdr:cNvPr id="2" name="Picture 1"/>
        <xdr:cNvPicPr>
          <a:picLocks noChangeAspect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0" y="0"/>
          <a:ext cx="7905750" cy="6296904"/>
        </a:xfrm>
        <a:prstGeom prst="rect">
          <a:avLst/>
        </a:prstGeom>
      </xdr:spPr>
    </xdr:pic>
    <xdr:clientData/>
  </xdr:twoCellAnchor>
  <xdr:twoCellAnchor>
    <xdr:from>
      <xdr:col>4</xdr:col>
      <xdr:colOff>428625</xdr:colOff>
      <xdr:row>5</xdr:row>
      <xdr:rowOff>142875</xdr:rowOff>
    </xdr:from>
    <xdr:to>
      <xdr:col>8</xdr:col>
      <xdr:colOff>76200</xdr:colOff>
      <xdr:row>7</xdr:row>
      <xdr:rowOff>114300</xdr:rowOff>
    </xdr:to>
    <xdr:sp macro="" textlink="">
      <xdr:nvSpPr>
        <xdr:cNvPr id="3" name="Rectangular Callout 2"/>
        <xdr:cNvSpPr/>
      </xdr:nvSpPr>
      <xdr:spPr>
        <a:xfrm>
          <a:off x="2867025" y="1095375"/>
          <a:ext cx="2085975" cy="352425"/>
        </a:xfrm>
        <a:prstGeom prst="wedgeRectCallout">
          <a:avLst>
            <a:gd name="adj1" fmla="val -67790"/>
            <a:gd name="adj2" fmla="val -15878"/>
          </a:avLst>
        </a:prstGeom>
      </xdr:spPr>
      <xdr:style>
        <a:lnRef idx="2">
          <a:schemeClr val="accent1">
            <a:shade val="5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t"/>
        <a:lstStyle/>
        <a:p>
          <a:pPr algn="l"/>
          <a:r>
            <a:rPr lang="en-US" sz="1100"/>
            <a:t>This Data should match</a:t>
          </a:r>
          <a:r>
            <a:rPr lang="en-US" sz="1100" baseline="0"/>
            <a:t> identical</a:t>
          </a:r>
          <a:endParaRPr lang="en-US" sz="1100"/>
        </a:p>
      </xdr:txBody>
    </xdr:sp>
    <xdr:clientData/>
  </xdr:twoCellAnchor>
  <xdr:twoCellAnchor>
    <xdr:from>
      <xdr:col>4</xdr:col>
      <xdr:colOff>200025</xdr:colOff>
      <xdr:row>1</xdr:row>
      <xdr:rowOff>171450</xdr:rowOff>
    </xdr:from>
    <xdr:to>
      <xdr:col>6</xdr:col>
      <xdr:colOff>276225</xdr:colOff>
      <xdr:row>4</xdr:row>
      <xdr:rowOff>171450</xdr:rowOff>
    </xdr:to>
    <xdr:sp macro="" textlink="">
      <xdr:nvSpPr>
        <xdr:cNvPr id="4" name="Rectangular Callout 3"/>
        <xdr:cNvSpPr/>
      </xdr:nvSpPr>
      <xdr:spPr>
        <a:xfrm>
          <a:off x="2638425" y="361950"/>
          <a:ext cx="1295400" cy="571500"/>
        </a:xfrm>
        <a:prstGeom prst="wedgeRectCallout">
          <a:avLst>
            <a:gd name="adj1" fmla="val -162009"/>
            <a:gd name="adj2" fmla="val -53779"/>
          </a:avLst>
        </a:prstGeom>
      </xdr:spPr>
      <xdr:style>
        <a:lnRef idx="2">
          <a:schemeClr val="accent1">
            <a:shade val="5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t"/>
        <a:lstStyle/>
        <a:p>
          <a:pPr algn="l"/>
          <a:r>
            <a:rPr lang="en-US" sz="1100"/>
            <a:t>Must</a:t>
          </a:r>
          <a:r>
            <a:rPr lang="en-US" sz="1100" baseline="0"/>
            <a:t> have 235_StudendID#</a:t>
          </a:r>
          <a:endParaRPr lang="en-US" sz="1100"/>
        </a:p>
      </xdr:txBody>
    </xdr:sp>
    <xdr:clientData/>
  </xdr:twoCellAnchor>
  <xdr:twoCellAnchor>
    <xdr:from>
      <xdr:col>3</xdr:col>
      <xdr:colOff>552450</xdr:colOff>
      <xdr:row>4</xdr:row>
      <xdr:rowOff>152400</xdr:rowOff>
    </xdr:from>
    <xdr:to>
      <xdr:col>4</xdr:col>
      <xdr:colOff>314325</xdr:colOff>
      <xdr:row>8</xdr:row>
      <xdr:rowOff>9525</xdr:rowOff>
    </xdr:to>
    <xdr:sp macro="" textlink="">
      <xdr:nvSpPr>
        <xdr:cNvPr id="5" name="Right Brace 4"/>
        <xdr:cNvSpPr/>
      </xdr:nvSpPr>
      <xdr:spPr>
        <a:xfrm>
          <a:off x="2381250" y="914400"/>
          <a:ext cx="371475" cy="619125"/>
        </a:xfrm>
        <a:prstGeom prst="rightBrace">
          <a:avLst/>
        </a:prstGeom>
      </xdr:spPr>
      <xdr:style>
        <a:lnRef idx="1">
          <a:schemeClr val="dk1"/>
        </a:lnRef>
        <a:fillRef idx="0">
          <a:schemeClr val="dk1"/>
        </a:fillRef>
        <a:effectRef idx="0">
          <a:schemeClr val="dk1"/>
        </a:effectRef>
        <a:fontRef idx="minor">
          <a:schemeClr val="tx1"/>
        </a:fontRef>
      </xdr:style>
      <xdr:txBody>
        <a:bodyPr vertOverflow="clip" horzOverflow="clip" rtlCol="0" anchor="t"/>
        <a:lstStyle/>
        <a:p>
          <a:pPr algn="l"/>
          <a:endParaRPr lang="en-US" sz="1100"/>
        </a:p>
      </xdr:txBody>
    </xdr:sp>
    <xdr:clientData/>
  </xdr:twoCellAnchor>
</xdr:wsDr>
</file>

<file path=xl/pivotCache/_rels/pivotCacheDefinition1.xml.rels><?xml version="1.0" encoding="UTF-8" standalone="yes"?>
<Relationships xmlns="http://schemas.openxmlformats.org/package/2006/relationships"><Relationship Id="rId1" Type="http://schemas.openxmlformats.org/officeDocument/2006/relationships/pivotCacheRecords" Target="pivotCacheRecords1.xml"/></Relationships>
</file>

<file path=xl/pivotCache/pivotCacheDefinition1.xml><?xml version="1.0" encoding="utf-8"?>
<pivotCacheDefinition xmlns="http://schemas.openxmlformats.org/spreadsheetml/2006/main" xmlns:r="http://schemas.openxmlformats.org/officeDocument/2006/relationships" r:id="rId1" refreshedBy="Windows User" refreshedDate="43238.359401388887" createdVersion="6" refreshedVersion="6" minRefreshableVersion="3" recordCount="7">
  <cacheSource type="worksheet">
    <worksheetSource ref="A4:H11" sheet="Consolidated"/>
  </cacheSource>
  <cacheFields count="8">
    <cacheField name="Brand" numFmtId="0">
      <sharedItems count="7">
        <s v="A&amp;G"/>
        <s v="Kenra"/>
        <s v="Aquage"/>
        <s v="Matrix"/>
        <s v="Paul Mitchell"/>
        <s v="Redken"/>
        <s v="Biometrix"/>
      </sharedItems>
    </cacheField>
    <cacheField name="Units_x000a_on Hand" numFmtId="0">
      <sharedItems containsSemiMixedTypes="0" containsString="0" containsNumber="1" containsInteger="1" minValue="355" maxValue="685"/>
    </cacheField>
    <cacheField name="Store_x000a_Discount" numFmtId="0">
      <sharedItems containsSemiMixedTypes="0" containsString="0" containsNumber="1" minValue="10" maxValue="55"/>
    </cacheField>
    <cacheField name="Average_x000a_Cost" numFmtId="0">
      <sharedItems containsSemiMixedTypes="0" containsString="0" containsNumber="1" minValue="98.75" maxValue="165.8"/>
    </cacheField>
    <cacheField name="Total_x000a_Cost" numFmtId="0">
      <sharedItems containsSemiMixedTypes="0" containsString="0" containsNumber="1" minValue="36636.25" maxValue="112578.20000000001"/>
    </cacheField>
    <cacheField name="Average_x000a_Unit Price" numFmtId="0">
      <sharedItems containsSemiMixedTypes="0" containsString="0" containsNumber="1" minValue="105.22" maxValue="213.82"/>
    </cacheField>
    <cacheField name="Total_x000a_Value" numFmtId="0">
      <sharedItems containsSemiMixedTypes="0" containsString="0" containsNumber="1" minValue="39036.620000000003" maxValue="145183.78"/>
    </cacheField>
    <cacheField name="Potential_x000a_Profit" numFmtId="0">
      <sharedItems containsSemiMixedTypes="0" containsString="0" containsNumber="1" minValue="-2137.1999999999971" maxValue="32605.579999999987" count="7">
        <n v="2400.3700000000026"/>
        <n v="17742.900000000001"/>
        <n v="18492.040000000008"/>
        <n v="15888.599999999999"/>
        <n v="19606.299999999988"/>
        <n v="32605.579999999987"/>
        <n v="-2137.1999999999971"/>
      </sharedItems>
    </cacheField>
  </cacheFields>
  <extLst>
    <ext xmlns:x14="http://schemas.microsoft.com/office/spreadsheetml/2009/9/main" uri="{725AE2AE-9491-48be-B2B4-4EB974FC3084}">
      <x14:pivotCacheDefinition/>
    </ext>
  </extLst>
</pivotCacheDefinition>
</file>

<file path=xl/pivotCache/pivotCacheRecords1.xml><?xml version="1.0" encoding="utf-8"?>
<pivotCacheRecords xmlns="http://schemas.openxmlformats.org/spreadsheetml/2006/main" xmlns:r="http://schemas.openxmlformats.org/officeDocument/2006/relationships" count="7">
  <r>
    <x v="0"/>
    <n v="371"/>
    <n v="40"/>
    <n v="98.75"/>
    <n v="36636.25"/>
    <n v="105.22"/>
    <n v="39036.620000000003"/>
    <x v="0"/>
  </r>
  <r>
    <x v="1"/>
    <n v="355"/>
    <n v="10"/>
    <n v="127.45"/>
    <n v="45244.75"/>
    <n v="177.43"/>
    <n v="62987.65"/>
    <x v="1"/>
  </r>
  <r>
    <x v="2"/>
    <n v="633"/>
    <n v="26.666666666666668"/>
    <n v="118.75"/>
    <n v="75168.75"/>
    <n v="147.96333333333334"/>
    <n v="93660.790000000008"/>
    <x v="2"/>
  </r>
  <r>
    <x v="3"/>
    <n v="485"/>
    <n v="15"/>
    <n v="101.48"/>
    <n v="49217.8"/>
    <n v="134.24"/>
    <n v="65106.400000000001"/>
    <x v="3"/>
  </r>
  <r>
    <x v="4"/>
    <n v="555"/>
    <n v="28.333333333333332"/>
    <n v="135.27000000000001"/>
    <n v="75074.850000000006"/>
    <n v="170.59666666666666"/>
    <n v="94681.15"/>
    <x v="4"/>
  </r>
  <r>
    <x v="5"/>
    <n v="679"/>
    <n v="30"/>
    <n v="165.8"/>
    <n v="112578.20000000001"/>
    <n v="213.82"/>
    <n v="145183.78"/>
    <x v="5"/>
  </r>
  <r>
    <x v="6"/>
    <n v="685"/>
    <n v="55"/>
    <n v="110.25"/>
    <n v="75521.25"/>
    <n v="107.13"/>
    <n v="73384.05"/>
    <x v="6"/>
  </r>
</pivotCacheRecords>
</file>

<file path=xl/pivotTables/_rels/pivotTable1.xml.rels><?xml version="1.0" encoding="UTF-8" standalone="yes"?>
<Relationships xmlns="http://schemas.openxmlformats.org/package/2006/relationships"><Relationship Id="rId1" Type="http://schemas.openxmlformats.org/officeDocument/2006/relationships/pivotCacheDefinition" Target="../pivotCache/pivotCacheDefinition1.xml"/></Relationships>
</file>

<file path=xl/pivotTables/pivotTable1.xml><?xml version="1.0" encoding="utf-8"?>
<pivotTableDefinition xmlns="http://schemas.openxmlformats.org/spreadsheetml/2006/main" name="PivotTable4" cacheId="0" applyNumberFormats="0" applyBorderFormats="0" applyFontFormats="0" applyPatternFormats="0" applyAlignmentFormats="0" applyWidthHeightFormats="1" dataCaption="Values" updatedVersion="6" minRefreshableVersion="3" useAutoFormatting="1" itemPrintTitles="1" createdVersion="6" indent="0" outline="1" outlineData="1" multipleFieldFilters="0" chartFormat="1">
  <location ref="A1:I3" firstHeaderRow="1" firstDataRow="2" firstDataCol="1"/>
  <pivotFields count="8">
    <pivotField axis="axisCol" showAll="0">
      <items count="8">
        <item x="0"/>
        <item x="2"/>
        <item x="6"/>
        <item x="1"/>
        <item x="3"/>
        <item x="4"/>
        <item x="5"/>
        <item t="default"/>
      </items>
    </pivotField>
    <pivotField showAll="0"/>
    <pivotField showAll="0"/>
    <pivotField showAll="0"/>
    <pivotField showAll="0"/>
    <pivotField showAll="0"/>
    <pivotField showAll="0"/>
    <pivotField dataField="1" showAll="0">
      <items count="8">
        <item x="6"/>
        <item x="0"/>
        <item x="3"/>
        <item x="1"/>
        <item x="2"/>
        <item x="4"/>
        <item x="5"/>
        <item t="default"/>
      </items>
    </pivotField>
  </pivotFields>
  <rowItems count="1">
    <i/>
  </rowItems>
  <colFields count="1">
    <field x="0"/>
  </colFields>
  <colItems count="8">
    <i>
      <x/>
    </i>
    <i>
      <x v="1"/>
    </i>
    <i>
      <x v="2"/>
    </i>
    <i>
      <x v="3"/>
    </i>
    <i>
      <x v="4"/>
    </i>
    <i>
      <x v="5"/>
    </i>
    <i>
      <x v="6"/>
    </i>
    <i t="grand">
      <x/>
    </i>
  </colItems>
  <dataFields count="1">
    <dataField name="Sum of Potential" fld="7" showDataAs="percentOfTotal" baseField="0" baseItem="261423480" numFmtId="9"/>
  </dataFields>
  <chartFormats count="7">
    <chartFormat chart="0" format="2" series="1">
      <pivotArea type="data" outline="0" fieldPosition="0">
        <references count="2">
          <reference field="4294967294" count="1" selected="0">
            <x v="0"/>
          </reference>
          <reference field="0" count="1" selected="0">
            <x v="0"/>
          </reference>
        </references>
      </pivotArea>
    </chartFormat>
    <chartFormat chart="0" format="3" series="1">
      <pivotArea type="data" outline="0" fieldPosition="0">
        <references count="2">
          <reference field="4294967294" count="1" selected="0">
            <x v="0"/>
          </reference>
          <reference field="0" count="1" selected="0">
            <x v="1"/>
          </reference>
        </references>
      </pivotArea>
    </chartFormat>
    <chartFormat chart="0" format="4" series="1">
      <pivotArea type="data" outline="0" fieldPosition="0">
        <references count="2">
          <reference field="4294967294" count="1" selected="0">
            <x v="0"/>
          </reference>
          <reference field="0" count="1" selected="0">
            <x v="2"/>
          </reference>
        </references>
      </pivotArea>
    </chartFormat>
    <chartFormat chart="0" format="5" series="1">
      <pivotArea type="data" outline="0" fieldPosition="0">
        <references count="2">
          <reference field="4294967294" count="1" selected="0">
            <x v="0"/>
          </reference>
          <reference field="0" count="1" selected="0">
            <x v="3"/>
          </reference>
        </references>
      </pivotArea>
    </chartFormat>
    <chartFormat chart="0" format="6" series="1">
      <pivotArea type="data" outline="0" fieldPosition="0">
        <references count="2">
          <reference field="4294967294" count="1" selected="0">
            <x v="0"/>
          </reference>
          <reference field="0" count="1" selected="0">
            <x v="4"/>
          </reference>
        </references>
      </pivotArea>
    </chartFormat>
    <chartFormat chart="0" format="7" series="1">
      <pivotArea type="data" outline="0" fieldPosition="0">
        <references count="2">
          <reference field="4294967294" count="1" selected="0">
            <x v="0"/>
          </reference>
          <reference field="0" count="1" selected="0">
            <x v="5"/>
          </reference>
        </references>
      </pivotArea>
    </chartFormat>
    <chartFormat chart="0" format="8" series="1">
      <pivotArea type="data" outline="0" fieldPosition="0">
        <references count="2">
          <reference field="4294967294" count="1" selected="0">
            <x v="0"/>
          </reference>
          <reference field="0" count="1" selected="0">
            <x v="6"/>
          </reference>
        </references>
      </pivotArea>
    </chartFormat>
  </chartFormats>
  <pivotTableStyleInfo name="PivotStyleLight16" showRowHeaders="1" showColHeaders="1" showRowStripes="0" showColStripes="0" showLastColumn="1"/>
  <extLst>
    <ext xmlns:x14="http://schemas.microsoft.com/office/spreadsheetml/2009/9/main" uri="{962EF5D1-5CA2-4c93-8EF4-DBF5C05439D2}">
      <x14:pivotTableDefinition xmlns:xm="http://schemas.microsoft.com/office/excel/2006/main" hideValuesRow="1"/>
    </ext>
  </extLst>
</pivotTableDefinition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_rels/sheet2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1.xml"/><Relationship Id="rId1" Type="http://schemas.openxmlformats.org/officeDocument/2006/relationships/printerSettings" Target="../printerSettings/printerSettings2.bin"/></Relationships>
</file>

<file path=xl/worksheets/_rels/sheet3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3.bin"/></Relationships>
</file>

<file path=xl/worksheets/_rels/sheet4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4.bin"/></Relationships>
</file>

<file path=xl/worksheets/_rels/sheet5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5.bin"/></Relationships>
</file>

<file path=xl/worksheets/_rels/sheet6.xml.rels><?xml version="1.0" encoding="UTF-8" standalone="yes"?>
<Relationships xmlns="http://schemas.openxmlformats.org/package/2006/relationships"><Relationship Id="rId3" Type="http://schemas.openxmlformats.org/officeDocument/2006/relationships/drawing" Target="../drawings/drawing2.xml"/><Relationship Id="rId2" Type="http://schemas.openxmlformats.org/officeDocument/2006/relationships/printerSettings" Target="../printerSettings/printerSettings6.bin"/><Relationship Id="rId1" Type="http://schemas.openxmlformats.org/officeDocument/2006/relationships/pivotTable" Target="../pivotTables/pivotTable1.xml"/></Relationships>
</file>

<file path=xl/worksheets/_rels/sheet7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3.xml"/><Relationship Id="rId1" Type="http://schemas.openxmlformats.org/officeDocument/2006/relationships/printerSettings" Target="../printerSettings/printerSettings7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 codeName="Sheet1">
    <pageSetUpPr fitToPage="1"/>
  </sheetPr>
  <dimension ref="A1:H18"/>
  <sheetViews>
    <sheetView tabSelected="1" zoomScaleNormal="100" workbookViewId="0">
      <selection activeCell="C6" sqref="C6"/>
    </sheetView>
  </sheetViews>
  <sheetFormatPr defaultColWidth="9.08984375" defaultRowHeight="14" x14ac:dyDescent="0.3"/>
  <cols>
    <col min="1" max="1" width="16" style="1" customWidth="1"/>
    <col min="2" max="2" width="10.08984375" style="1" customWidth="1"/>
    <col min="3" max="3" width="9.08984375" style="1"/>
    <col min="4" max="4" width="8.81640625" style="1" customWidth="1"/>
    <col min="5" max="5" width="12.7265625" style="1" customWidth="1"/>
    <col min="6" max="6" width="9.81640625" style="1" customWidth="1"/>
    <col min="7" max="7" width="12.7265625" style="1" customWidth="1"/>
    <col min="8" max="8" width="12.6328125" style="1" bestFit="1" customWidth="1"/>
    <col min="9" max="16384" width="9.08984375" style="1"/>
  </cols>
  <sheetData>
    <row r="1" spans="1:8" ht="30.5" x14ac:dyDescent="0.65">
      <c r="A1" s="32" t="s">
        <v>0</v>
      </c>
      <c r="B1" s="33"/>
      <c r="C1" s="33"/>
      <c r="D1" s="33"/>
      <c r="E1" s="33"/>
      <c r="F1" s="33"/>
      <c r="G1" s="33"/>
      <c r="H1" s="34"/>
    </row>
    <row r="2" spans="1:8" ht="23.5" thickBot="1" x14ac:dyDescent="0.55000000000000004">
      <c r="A2" s="35" t="s">
        <v>1</v>
      </c>
      <c r="B2" s="36"/>
      <c r="C2" s="36"/>
      <c r="D2" s="36"/>
      <c r="E2" s="36"/>
      <c r="F2" s="36"/>
      <c r="G2" s="36"/>
      <c r="H2" s="37"/>
    </row>
    <row r="4" spans="1:8" ht="29.5" thickBot="1" x14ac:dyDescent="0.4">
      <c r="A4" s="6" t="s">
        <v>8</v>
      </c>
      <c r="B4" s="7" t="s">
        <v>2</v>
      </c>
      <c r="C4" s="7" t="s">
        <v>3</v>
      </c>
      <c r="D4" s="7" t="s">
        <v>17</v>
      </c>
      <c r="E4" s="7" t="s">
        <v>4</v>
      </c>
      <c r="F4" s="7" t="s">
        <v>5</v>
      </c>
      <c r="G4" s="7" t="s">
        <v>6</v>
      </c>
      <c r="H4" s="7" t="s">
        <v>7</v>
      </c>
    </row>
    <row r="5" spans="1:8" ht="15.5" x14ac:dyDescent="0.35">
      <c r="A5" s="2" t="s">
        <v>9</v>
      </c>
      <c r="B5" s="2">
        <f>SUM(Miami:Jacksonville!B5)</f>
        <v>371</v>
      </c>
      <c r="C5" s="8">
        <f>AVERAGE(Miami:Jacksonville!C5)</f>
        <v>40</v>
      </c>
      <c r="D5" s="8">
        <v>98.75</v>
      </c>
      <c r="E5" s="8">
        <f>B5*D5</f>
        <v>36636.25</v>
      </c>
      <c r="F5" s="8">
        <f>ROUND(D5/(1-0.32),2)-C5</f>
        <v>105.22</v>
      </c>
      <c r="G5" s="8">
        <f>B5*F5</f>
        <v>39036.620000000003</v>
      </c>
      <c r="H5" s="8">
        <f>G5-E5</f>
        <v>2400.3700000000026</v>
      </c>
    </row>
    <row r="6" spans="1:8" ht="15.5" x14ac:dyDescent="0.35">
      <c r="A6" s="2" t="s">
        <v>10</v>
      </c>
      <c r="B6" s="2">
        <f>SUM(Miami:Jacksonville!B6)</f>
        <v>355</v>
      </c>
      <c r="C6" s="11">
        <f>AVERAGE(Miami:Jacksonville!C6)</f>
        <v>10</v>
      </c>
      <c r="D6" s="2">
        <v>127.45</v>
      </c>
      <c r="E6" s="11">
        <f t="shared" ref="E6:E11" si="0">B6*D6</f>
        <v>45244.75</v>
      </c>
      <c r="F6" s="11">
        <f t="shared" ref="F6:F11" si="1">ROUND(D6/(1-0.32),2)-C6</f>
        <v>177.43</v>
      </c>
      <c r="G6" s="11">
        <f t="shared" ref="G6:G11" si="2">B6*F6</f>
        <v>62987.65</v>
      </c>
      <c r="H6" s="11">
        <f t="shared" ref="H6:H11" si="3">G6-E6</f>
        <v>17742.900000000001</v>
      </c>
    </row>
    <row r="7" spans="1:8" ht="15.5" x14ac:dyDescent="0.35">
      <c r="A7" s="2" t="s">
        <v>11</v>
      </c>
      <c r="B7" s="2">
        <f>SUM(Miami:Jacksonville!B7)</f>
        <v>633</v>
      </c>
      <c r="C7" s="11">
        <f>AVERAGE(Miami:Jacksonville!C7)</f>
        <v>26.666666666666668</v>
      </c>
      <c r="D7" s="2">
        <v>118.75</v>
      </c>
      <c r="E7" s="11">
        <f t="shared" si="0"/>
        <v>75168.75</v>
      </c>
      <c r="F7" s="11">
        <f t="shared" si="1"/>
        <v>147.96333333333334</v>
      </c>
      <c r="G7" s="11">
        <f t="shared" si="2"/>
        <v>93660.790000000008</v>
      </c>
      <c r="H7" s="11">
        <f t="shared" si="3"/>
        <v>18492.040000000008</v>
      </c>
    </row>
    <row r="8" spans="1:8" ht="15.5" x14ac:dyDescent="0.35">
      <c r="A8" s="2" t="s">
        <v>12</v>
      </c>
      <c r="B8" s="2">
        <f>SUM(Miami:Jacksonville!B8)</f>
        <v>485</v>
      </c>
      <c r="C8" s="11">
        <f>AVERAGE(Miami:Jacksonville!C8)</f>
        <v>15</v>
      </c>
      <c r="D8" s="2">
        <v>101.48</v>
      </c>
      <c r="E8" s="11">
        <f t="shared" si="0"/>
        <v>49217.8</v>
      </c>
      <c r="F8" s="11">
        <f t="shared" si="1"/>
        <v>134.24</v>
      </c>
      <c r="G8" s="11">
        <f t="shared" si="2"/>
        <v>65106.400000000001</v>
      </c>
      <c r="H8" s="11">
        <f t="shared" si="3"/>
        <v>15888.599999999999</v>
      </c>
    </row>
    <row r="9" spans="1:8" ht="15.5" x14ac:dyDescent="0.35">
      <c r="A9" s="2" t="s">
        <v>13</v>
      </c>
      <c r="B9" s="2">
        <f>SUM(Miami:Jacksonville!B9)</f>
        <v>555</v>
      </c>
      <c r="C9" s="11">
        <f>AVERAGE(Miami:Jacksonville!C9)</f>
        <v>28.333333333333332</v>
      </c>
      <c r="D9" s="2">
        <v>135.27000000000001</v>
      </c>
      <c r="E9" s="11">
        <f t="shared" si="0"/>
        <v>75074.850000000006</v>
      </c>
      <c r="F9" s="11">
        <f t="shared" si="1"/>
        <v>170.59666666666666</v>
      </c>
      <c r="G9" s="11">
        <f t="shared" si="2"/>
        <v>94681.15</v>
      </c>
      <c r="H9" s="11">
        <f t="shared" si="3"/>
        <v>19606.299999999988</v>
      </c>
    </row>
    <row r="10" spans="1:8" ht="15.5" x14ac:dyDescent="0.35">
      <c r="A10" s="2" t="s">
        <v>14</v>
      </c>
      <c r="B10" s="2">
        <f>SUM(Miami:Jacksonville!B10)</f>
        <v>679</v>
      </c>
      <c r="C10" s="11">
        <f>AVERAGE(Miami:Jacksonville!C10)</f>
        <v>30</v>
      </c>
      <c r="D10" s="2">
        <v>165.8</v>
      </c>
      <c r="E10" s="11">
        <f t="shared" si="0"/>
        <v>112578.20000000001</v>
      </c>
      <c r="F10" s="11">
        <f t="shared" si="1"/>
        <v>213.82</v>
      </c>
      <c r="G10" s="11">
        <f t="shared" si="2"/>
        <v>145183.78</v>
      </c>
      <c r="H10" s="11">
        <f t="shared" si="3"/>
        <v>32605.579999999987</v>
      </c>
    </row>
    <row r="11" spans="1:8" ht="15.5" x14ac:dyDescent="0.35">
      <c r="A11" s="2" t="s">
        <v>15</v>
      </c>
      <c r="B11" s="2">
        <f>SUM(Miami:Jacksonville!B11)</f>
        <v>685</v>
      </c>
      <c r="C11" s="11">
        <f>AVERAGE(Miami:Jacksonville!C11)</f>
        <v>55</v>
      </c>
      <c r="D11" s="2">
        <v>110.25</v>
      </c>
      <c r="E11" s="11">
        <f t="shared" si="0"/>
        <v>75521.25</v>
      </c>
      <c r="F11" s="11">
        <f t="shared" si="1"/>
        <v>107.13</v>
      </c>
      <c r="G11" s="11">
        <f t="shared" si="2"/>
        <v>73384.05</v>
      </c>
      <c r="H11" s="14">
        <f t="shared" si="3"/>
        <v>-2137.1999999999971</v>
      </c>
    </row>
    <row r="12" spans="1:8" ht="15.5" thickBot="1" x14ac:dyDescent="0.35">
      <c r="A12" s="12"/>
      <c r="B12" s="12">
        <f>SUM(B5:B11)</f>
        <v>3763</v>
      </c>
      <c r="C12" s="12"/>
      <c r="D12" s="12"/>
      <c r="E12" s="13">
        <f>SUM(E5:E11)</f>
        <v>469441.85000000003</v>
      </c>
      <c r="F12" s="12"/>
      <c r="G12" s="13">
        <f>SUM(G5:G11)</f>
        <v>574040.44000000006</v>
      </c>
      <c r="H12" s="13">
        <f>SUM(H5:H11)</f>
        <v>104598.58999999998</v>
      </c>
    </row>
    <row r="13" spans="1:8" ht="30" customHeight="1" thickTop="1" x14ac:dyDescent="0.35">
      <c r="A13" s="2" t="s">
        <v>16</v>
      </c>
      <c r="B13" s="2">
        <f>ROUND(B12,-2)</f>
        <v>3800</v>
      </c>
      <c r="C13" s="2"/>
      <c r="D13" s="2"/>
      <c r="E13" s="2"/>
      <c r="F13" s="2"/>
      <c r="G13" s="2"/>
      <c r="H13" s="2"/>
    </row>
    <row r="15" spans="1:8" ht="14.5" thickBot="1" x14ac:dyDescent="0.35"/>
    <row r="16" spans="1:8" ht="20" x14ac:dyDescent="0.4">
      <c r="A16" s="17" t="s">
        <v>0</v>
      </c>
      <c r="B16" s="26"/>
      <c r="C16" s="27"/>
    </row>
    <row r="17" spans="1:3" ht="20" x14ac:dyDescent="0.4">
      <c r="A17" s="20" t="s">
        <v>24</v>
      </c>
      <c r="B17" s="28"/>
      <c r="C17" s="29"/>
    </row>
    <row r="18" spans="1:3" ht="20.5" thickBot="1" x14ac:dyDescent="0.45">
      <c r="A18" s="23" t="s">
        <v>25</v>
      </c>
      <c r="B18" s="30"/>
      <c r="C18" s="31"/>
    </row>
  </sheetData>
  <mergeCells count="2">
    <mergeCell ref="A1:H1"/>
    <mergeCell ref="A2:H2"/>
  </mergeCells>
  <printOptions horizontalCentered="1" verticalCentered="1"/>
  <pageMargins left="0.7" right="0.7" top="0.75" bottom="0.75" header="0.3" footer="0.3"/>
  <pageSetup orientation="landscape" r:id="rId1"/>
  <headerFooter>
    <oddHeader>&amp;C&amp;A</oddHeader>
    <oddFooter>&amp;RContestant Number
Printout 1</oddFooter>
  </headerFooter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>
    <pageSetUpPr fitToPage="1"/>
  </sheetPr>
  <dimension ref="A1"/>
  <sheetViews>
    <sheetView view="pageLayout" zoomScaleNormal="100" workbookViewId="0">
      <selection activeCell="D67" sqref="D67"/>
    </sheetView>
  </sheetViews>
  <sheetFormatPr defaultRowHeight="14.5" x14ac:dyDescent="0.35"/>
  <sheetData/>
  <printOptions horizontalCentered="1" verticalCentered="1"/>
  <pageMargins left="0.7" right="0.7" top="0.75" bottom="0.75" header="0.3" footer="0.3"/>
  <pageSetup scale="93" orientation="landscape" r:id="rId1"/>
  <headerFooter>
    <oddHeader>&amp;CConsolidated</oddHeader>
    <oddFooter>&amp;RContestant Number
Printout 2</oddFooter>
  </headerFooter>
  <drawing r:id="rId2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 codeName="Sheet2">
    <pageSetUpPr fitToPage="1"/>
  </sheetPr>
  <dimension ref="A1:H18"/>
  <sheetViews>
    <sheetView view="pageLayout" zoomScaleNormal="100" workbookViewId="0">
      <selection activeCell="D67" sqref="D67"/>
    </sheetView>
  </sheetViews>
  <sheetFormatPr defaultColWidth="9.08984375" defaultRowHeight="14" x14ac:dyDescent="0.3"/>
  <cols>
    <col min="1" max="1" width="16.36328125" style="1" bestFit="1" customWidth="1"/>
    <col min="2" max="4" width="9.08984375" style="1"/>
    <col min="5" max="5" width="12.36328125" style="1" bestFit="1" customWidth="1"/>
    <col min="6" max="6" width="10.36328125" style="1" customWidth="1"/>
    <col min="7" max="7" width="12.36328125" style="1" bestFit="1" customWidth="1"/>
    <col min="8" max="8" width="11.36328125" style="1" bestFit="1" customWidth="1"/>
    <col min="9" max="16384" width="9.08984375" style="1"/>
  </cols>
  <sheetData>
    <row r="1" spans="1:8" ht="30.5" x14ac:dyDescent="0.65">
      <c r="A1" s="32" t="s">
        <v>0</v>
      </c>
      <c r="B1" s="33"/>
      <c r="C1" s="33"/>
      <c r="D1" s="33"/>
      <c r="E1" s="33"/>
      <c r="F1" s="33"/>
      <c r="G1" s="33"/>
      <c r="H1" s="34"/>
    </row>
    <row r="2" spans="1:8" ht="23.5" thickBot="1" x14ac:dyDescent="0.55000000000000004">
      <c r="A2" s="35" t="s">
        <v>18</v>
      </c>
      <c r="B2" s="36"/>
      <c r="C2" s="36"/>
      <c r="D2" s="36"/>
      <c r="E2" s="36"/>
      <c r="F2" s="36"/>
      <c r="G2" s="36"/>
      <c r="H2" s="37"/>
    </row>
    <row r="4" spans="1:8" ht="29.5" thickBot="1" x14ac:dyDescent="0.4">
      <c r="A4" s="6" t="s">
        <v>8</v>
      </c>
      <c r="B4" s="7" t="s">
        <v>2</v>
      </c>
      <c r="C4" s="7" t="s">
        <v>3</v>
      </c>
      <c r="D4" s="7" t="s">
        <v>17</v>
      </c>
      <c r="E4" s="7" t="s">
        <v>4</v>
      </c>
      <c r="F4" s="7" t="s">
        <v>5</v>
      </c>
      <c r="G4" s="7" t="s">
        <v>6</v>
      </c>
      <c r="H4" s="7" t="s">
        <v>7</v>
      </c>
    </row>
    <row r="5" spans="1:8" ht="15.5" x14ac:dyDescent="0.35">
      <c r="A5" s="2" t="s">
        <v>9</v>
      </c>
      <c r="B5" s="2">
        <v>100</v>
      </c>
      <c r="C5" s="8">
        <v>35</v>
      </c>
      <c r="D5" s="8">
        <v>98.75</v>
      </c>
      <c r="E5" s="8">
        <f>B5*D5</f>
        <v>9875</v>
      </c>
      <c r="F5" s="8">
        <f>ROUND(D5/(1-0.32),2)-C5</f>
        <v>110.22</v>
      </c>
      <c r="G5" s="8">
        <f>B5*F5</f>
        <v>11022</v>
      </c>
      <c r="H5" s="8">
        <f>G5-E5</f>
        <v>1147</v>
      </c>
    </row>
    <row r="6" spans="1:8" ht="15.5" x14ac:dyDescent="0.35">
      <c r="A6" s="2" t="s">
        <v>10</v>
      </c>
      <c r="B6" s="2">
        <v>119</v>
      </c>
      <c r="C6" s="4">
        <v>0</v>
      </c>
      <c r="D6" s="2">
        <v>127.45</v>
      </c>
      <c r="E6" s="10">
        <f t="shared" ref="E6:E11" si="0">B6*D6</f>
        <v>15166.550000000001</v>
      </c>
      <c r="F6" s="10">
        <f t="shared" ref="F6:F11" si="1">ROUND(D6/(1-0.32),2)-C6</f>
        <v>187.43</v>
      </c>
      <c r="G6" s="10">
        <f t="shared" ref="G6:G11" si="2">B6*F6</f>
        <v>22304.170000000002</v>
      </c>
      <c r="H6" s="10">
        <f t="shared" ref="H6:H11" si="3">G6-E6</f>
        <v>7137.6200000000008</v>
      </c>
    </row>
    <row r="7" spans="1:8" ht="15.5" x14ac:dyDescent="0.35">
      <c r="A7" s="2" t="s">
        <v>11</v>
      </c>
      <c r="B7" s="2">
        <v>135</v>
      </c>
      <c r="C7" s="4">
        <v>15</v>
      </c>
      <c r="D7" s="2">
        <v>118.75</v>
      </c>
      <c r="E7" s="10">
        <f t="shared" si="0"/>
        <v>16031.25</v>
      </c>
      <c r="F7" s="10">
        <f t="shared" si="1"/>
        <v>159.63</v>
      </c>
      <c r="G7" s="10">
        <f t="shared" si="2"/>
        <v>21550.05</v>
      </c>
      <c r="H7" s="10">
        <f t="shared" si="3"/>
        <v>5518.7999999999993</v>
      </c>
    </row>
    <row r="8" spans="1:8" ht="15.5" x14ac:dyDescent="0.35">
      <c r="A8" s="2" t="s">
        <v>12</v>
      </c>
      <c r="B8" s="2">
        <v>180</v>
      </c>
      <c r="C8" s="4">
        <v>35</v>
      </c>
      <c r="D8" s="2">
        <v>101.48</v>
      </c>
      <c r="E8" s="10">
        <f t="shared" si="0"/>
        <v>18266.400000000001</v>
      </c>
      <c r="F8" s="10">
        <f t="shared" si="1"/>
        <v>114.24000000000001</v>
      </c>
      <c r="G8" s="10">
        <f t="shared" si="2"/>
        <v>20563.2</v>
      </c>
      <c r="H8" s="10">
        <f t="shared" si="3"/>
        <v>2296.7999999999993</v>
      </c>
    </row>
    <row r="9" spans="1:8" ht="15.5" x14ac:dyDescent="0.35">
      <c r="A9" s="2" t="s">
        <v>13</v>
      </c>
      <c r="B9" s="2">
        <v>255</v>
      </c>
      <c r="C9" s="4">
        <v>60</v>
      </c>
      <c r="D9" s="2">
        <v>135.27000000000001</v>
      </c>
      <c r="E9" s="10">
        <f t="shared" si="0"/>
        <v>34493.850000000006</v>
      </c>
      <c r="F9" s="10">
        <f t="shared" si="1"/>
        <v>138.93</v>
      </c>
      <c r="G9" s="10">
        <f t="shared" si="2"/>
        <v>35427.15</v>
      </c>
      <c r="H9" s="10">
        <f t="shared" si="3"/>
        <v>933.29999999999563</v>
      </c>
    </row>
    <row r="10" spans="1:8" ht="15.5" x14ac:dyDescent="0.35">
      <c r="A10" s="2" t="s">
        <v>14</v>
      </c>
      <c r="B10" s="2">
        <v>179</v>
      </c>
      <c r="C10" s="4">
        <v>10</v>
      </c>
      <c r="D10" s="2">
        <v>165.8</v>
      </c>
      <c r="E10" s="10">
        <f t="shared" si="0"/>
        <v>29678.2</v>
      </c>
      <c r="F10" s="10">
        <f t="shared" si="1"/>
        <v>233.82</v>
      </c>
      <c r="G10" s="10">
        <f t="shared" si="2"/>
        <v>41853.78</v>
      </c>
      <c r="H10" s="10">
        <f t="shared" si="3"/>
        <v>12175.579999999998</v>
      </c>
    </row>
    <row r="11" spans="1:8" ht="15.5" x14ac:dyDescent="0.35">
      <c r="A11" s="2" t="s">
        <v>15</v>
      </c>
      <c r="B11" s="2">
        <v>201</v>
      </c>
      <c r="C11" s="4">
        <v>50</v>
      </c>
      <c r="D11" s="2">
        <v>110.25</v>
      </c>
      <c r="E11" s="10">
        <f t="shared" si="0"/>
        <v>22160.25</v>
      </c>
      <c r="F11" s="10">
        <f t="shared" si="1"/>
        <v>112.13</v>
      </c>
      <c r="G11" s="10">
        <f t="shared" si="2"/>
        <v>22538.129999999997</v>
      </c>
      <c r="H11" s="10">
        <f t="shared" si="3"/>
        <v>377.87999999999738</v>
      </c>
    </row>
    <row r="12" spans="1:8" s="2" customFormat="1" ht="16" thickBot="1" x14ac:dyDescent="0.4">
      <c r="A12" s="12"/>
      <c r="B12" s="12">
        <f>SUM(B5:B11)</f>
        <v>1169</v>
      </c>
      <c r="C12" s="12"/>
      <c r="D12" s="12"/>
      <c r="E12" s="13">
        <f>SUM(E5:E11)</f>
        <v>145671.5</v>
      </c>
      <c r="F12" s="12"/>
      <c r="G12" s="13">
        <f>SUM(G5:G11)</f>
        <v>175258.48</v>
      </c>
      <c r="H12" s="13">
        <f>SUM(H5:H11)</f>
        <v>29586.979999999992</v>
      </c>
    </row>
    <row r="13" spans="1:8" ht="30" customHeight="1" thickTop="1" x14ac:dyDescent="0.35">
      <c r="A13" s="2"/>
      <c r="B13" s="2"/>
      <c r="C13" s="2"/>
      <c r="D13" s="2"/>
      <c r="E13" s="2"/>
      <c r="F13" s="2"/>
      <c r="G13" s="2"/>
      <c r="H13" s="2"/>
    </row>
    <row r="15" spans="1:8" ht="15" thickBot="1" x14ac:dyDescent="0.4">
      <c r="A15"/>
      <c r="B15"/>
      <c r="C15"/>
    </row>
    <row r="16" spans="1:8" ht="20" x14ac:dyDescent="0.4">
      <c r="A16" s="17" t="s">
        <v>0</v>
      </c>
      <c r="B16" s="26"/>
      <c r="C16" s="27"/>
    </row>
    <row r="17" spans="1:3" ht="20" x14ac:dyDescent="0.4">
      <c r="A17" s="20" t="s">
        <v>24</v>
      </c>
      <c r="B17" s="28"/>
      <c r="C17" s="29"/>
    </row>
    <row r="18" spans="1:3" ht="20.5" thickBot="1" x14ac:dyDescent="0.45">
      <c r="A18" s="23" t="s">
        <v>25</v>
      </c>
      <c r="B18" s="24"/>
      <c r="C18" s="25"/>
    </row>
  </sheetData>
  <mergeCells count="2">
    <mergeCell ref="A1:H1"/>
    <mergeCell ref="A2:H2"/>
  </mergeCells>
  <printOptions horizontalCentered="1" verticalCentered="1"/>
  <pageMargins left="0.7" right="0.7" top="0.75" bottom="0.75" header="0.3" footer="0.3"/>
  <pageSetup orientation="landscape" r:id="rId1"/>
  <headerFooter>
    <oddHeader>&amp;C&amp;A</oddHeader>
    <oddFooter>&amp;RContestant Number
Printout 3</oddFooter>
  </headerFooter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 codeName="Sheet3"/>
  <dimension ref="A1:H18"/>
  <sheetViews>
    <sheetView view="pageLayout" zoomScaleNormal="100" workbookViewId="0">
      <selection activeCell="I2" sqref="I2"/>
    </sheetView>
  </sheetViews>
  <sheetFormatPr defaultColWidth="9.08984375" defaultRowHeight="14" x14ac:dyDescent="0.3"/>
  <cols>
    <col min="1" max="1" width="16.36328125" style="1" bestFit="1" customWidth="1"/>
    <col min="2" max="4" width="9.08984375" style="1"/>
    <col min="5" max="5" width="12.36328125" style="1" bestFit="1" customWidth="1"/>
    <col min="6" max="6" width="10.36328125" style="1" customWidth="1"/>
    <col min="7" max="7" width="12.36328125" style="1" bestFit="1" customWidth="1"/>
    <col min="8" max="8" width="11.26953125" style="1" bestFit="1" customWidth="1"/>
    <col min="9" max="16384" width="9.08984375" style="1"/>
  </cols>
  <sheetData>
    <row r="1" spans="1:8" ht="30.5" x14ac:dyDescent="0.65">
      <c r="A1" s="32" t="s">
        <v>0</v>
      </c>
      <c r="B1" s="33"/>
      <c r="C1" s="33"/>
      <c r="D1" s="33"/>
      <c r="E1" s="33"/>
      <c r="F1" s="33"/>
      <c r="G1" s="33"/>
      <c r="H1" s="34"/>
    </row>
    <row r="2" spans="1:8" ht="23.5" thickBot="1" x14ac:dyDescent="0.55000000000000004">
      <c r="A2" s="35" t="s">
        <v>20</v>
      </c>
      <c r="B2" s="36"/>
      <c r="C2" s="36"/>
      <c r="D2" s="36"/>
      <c r="E2" s="36"/>
      <c r="F2" s="36"/>
      <c r="G2" s="36"/>
      <c r="H2" s="37"/>
    </row>
    <row r="4" spans="1:8" ht="29.5" thickBot="1" x14ac:dyDescent="0.4">
      <c r="A4" s="6" t="s">
        <v>8</v>
      </c>
      <c r="B4" s="7" t="s">
        <v>2</v>
      </c>
      <c r="C4" s="7" t="s">
        <v>3</v>
      </c>
      <c r="D4" s="7" t="s">
        <v>17</v>
      </c>
      <c r="E4" s="7" t="s">
        <v>4</v>
      </c>
      <c r="F4" s="7" t="s">
        <v>5</v>
      </c>
      <c r="G4" s="7" t="s">
        <v>6</v>
      </c>
      <c r="H4" s="7" t="s">
        <v>7</v>
      </c>
    </row>
    <row r="5" spans="1:8" ht="15.5" x14ac:dyDescent="0.35">
      <c r="A5" s="2" t="s">
        <v>9</v>
      </c>
      <c r="B5" s="2">
        <v>75</v>
      </c>
      <c r="C5" s="9">
        <v>35</v>
      </c>
      <c r="D5" s="3">
        <v>98.75</v>
      </c>
      <c r="E5" s="8">
        <f>B5*D5</f>
        <v>7406.25</v>
      </c>
      <c r="F5" s="8">
        <f>ROUND(D5/(1-0.32),2)-C5</f>
        <v>110.22</v>
      </c>
      <c r="G5" s="8">
        <f>B5*F5</f>
        <v>8266.5</v>
      </c>
      <c r="H5" s="8">
        <f>G5-E5</f>
        <v>860.25</v>
      </c>
    </row>
    <row r="6" spans="1:8" ht="15.5" x14ac:dyDescent="0.35">
      <c r="A6" s="2" t="s">
        <v>10</v>
      </c>
      <c r="B6" s="2">
        <v>135</v>
      </c>
      <c r="C6" s="4">
        <v>15</v>
      </c>
      <c r="D6" s="5">
        <v>127.45</v>
      </c>
      <c r="E6" s="11">
        <f t="shared" ref="E6:E11" si="0">B6*D6</f>
        <v>17205.75</v>
      </c>
      <c r="F6" s="11">
        <f t="shared" ref="F6:F11" si="1">ROUND(D6/(1-0.32),2)-C6</f>
        <v>172.43</v>
      </c>
      <c r="G6" s="11">
        <f t="shared" ref="G6:G11" si="2">B6*F6</f>
        <v>23278.05</v>
      </c>
      <c r="H6" s="11">
        <f t="shared" ref="H6:H11" si="3">G6-E6</f>
        <v>6072.2999999999993</v>
      </c>
    </row>
    <row r="7" spans="1:8" ht="15.5" x14ac:dyDescent="0.35">
      <c r="A7" s="2" t="s">
        <v>11</v>
      </c>
      <c r="B7" s="2">
        <v>200</v>
      </c>
      <c r="C7" s="4">
        <v>30</v>
      </c>
      <c r="D7" s="5">
        <v>118.75</v>
      </c>
      <c r="E7" s="11">
        <f t="shared" si="0"/>
        <v>23750</v>
      </c>
      <c r="F7" s="11">
        <f t="shared" si="1"/>
        <v>144.63</v>
      </c>
      <c r="G7" s="11">
        <f t="shared" si="2"/>
        <v>28926</v>
      </c>
      <c r="H7" s="11">
        <f t="shared" si="3"/>
        <v>5176</v>
      </c>
    </row>
    <row r="8" spans="1:8" ht="15.5" x14ac:dyDescent="0.35">
      <c r="A8" s="2" t="s">
        <v>12</v>
      </c>
      <c r="B8" s="2">
        <v>146</v>
      </c>
      <c r="C8" s="4">
        <v>10</v>
      </c>
      <c r="D8" s="5">
        <v>101.48</v>
      </c>
      <c r="E8" s="11">
        <f t="shared" si="0"/>
        <v>14816.08</v>
      </c>
      <c r="F8" s="11">
        <f t="shared" si="1"/>
        <v>139.24</v>
      </c>
      <c r="G8" s="11">
        <f t="shared" si="2"/>
        <v>20329.04</v>
      </c>
      <c r="H8" s="11">
        <f t="shared" si="3"/>
        <v>5512.9600000000009</v>
      </c>
    </row>
    <row r="9" spans="1:8" ht="15.5" x14ac:dyDescent="0.35">
      <c r="A9" s="2" t="s">
        <v>13</v>
      </c>
      <c r="B9" s="2">
        <v>90</v>
      </c>
      <c r="C9" s="4">
        <v>0</v>
      </c>
      <c r="D9" s="5">
        <v>135.27000000000001</v>
      </c>
      <c r="E9" s="11">
        <f t="shared" si="0"/>
        <v>12174.300000000001</v>
      </c>
      <c r="F9" s="11">
        <f t="shared" si="1"/>
        <v>198.93</v>
      </c>
      <c r="G9" s="11">
        <f t="shared" si="2"/>
        <v>17903.7</v>
      </c>
      <c r="H9" s="11">
        <f t="shared" si="3"/>
        <v>5729.4</v>
      </c>
    </row>
    <row r="10" spans="1:8" ht="15.5" x14ac:dyDescent="0.35">
      <c r="A10" s="2" t="s">
        <v>14</v>
      </c>
      <c r="B10" s="2">
        <v>175</v>
      </c>
      <c r="C10" s="4">
        <v>25</v>
      </c>
      <c r="D10" s="5">
        <v>165.8</v>
      </c>
      <c r="E10" s="11">
        <f t="shared" si="0"/>
        <v>29015.000000000004</v>
      </c>
      <c r="F10" s="11">
        <f t="shared" si="1"/>
        <v>218.82</v>
      </c>
      <c r="G10" s="11">
        <f t="shared" si="2"/>
        <v>38293.5</v>
      </c>
      <c r="H10" s="11">
        <f t="shared" si="3"/>
        <v>9278.4999999999964</v>
      </c>
    </row>
    <row r="11" spans="1:8" ht="15.5" x14ac:dyDescent="0.35">
      <c r="A11" s="2" t="s">
        <v>15</v>
      </c>
      <c r="B11" s="2">
        <v>225</v>
      </c>
      <c r="C11" s="4">
        <v>60</v>
      </c>
      <c r="D11" s="5">
        <v>110.25</v>
      </c>
      <c r="E11" s="11">
        <f t="shared" si="0"/>
        <v>24806.25</v>
      </c>
      <c r="F11" s="11">
        <f t="shared" si="1"/>
        <v>102.13</v>
      </c>
      <c r="G11" s="11">
        <f t="shared" si="2"/>
        <v>22979.25</v>
      </c>
      <c r="H11" s="11">
        <f t="shared" si="3"/>
        <v>-1827</v>
      </c>
    </row>
    <row r="12" spans="1:8" s="2" customFormat="1" ht="16" thickBot="1" x14ac:dyDescent="0.4">
      <c r="A12" s="12"/>
      <c r="B12" s="12">
        <f>SUM(B5:B11)</f>
        <v>1046</v>
      </c>
      <c r="C12" s="12"/>
      <c r="D12" s="12"/>
      <c r="E12" s="13">
        <f>SUM(E5:E11)</f>
        <v>129173.63</v>
      </c>
      <c r="F12" s="12"/>
      <c r="G12" s="13">
        <f>SUM(G5:G11)</f>
        <v>159976.03999999998</v>
      </c>
      <c r="H12" s="13">
        <f>SUM(H5:H11)</f>
        <v>30802.41</v>
      </c>
    </row>
    <row r="13" spans="1:8" ht="30" customHeight="1" thickTop="1" x14ac:dyDescent="0.35">
      <c r="A13" s="2"/>
      <c r="B13" s="2"/>
      <c r="C13" s="2"/>
      <c r="D13" s="2"/>
      <c r="E13" s="2"/>
      <c r="F13" s="2"/>
      <c r="G13" s="2"/>
      <c r="H13" s="2"/>
    </row>
    <row r="15" spans="1:8" ht="14.5" thickBot="1" x14ac:dyDescent="0.35"/>
    <row r="16" spans="1:8" ht="20" x14ac:dyDescent="0.4">
      <c r="A16" s="17" t="s">
        <v>0</v>
      </c>
      <c r="B16" s="18"/>
      <c r="C16" s="19"/>
    </row>
    <row r="17" spans="1:3" ht="20" x14ac:dyDescent="0.4">
      <c r="A17" s="20" t="s">
        <v>24</v>
      </c>
      <c r="B17" s="21"/>
      <c r="C17" s="22"/>
    </row>
    <row r="18" spans="1:3" ht="20.5" thickBot="1" x14ac:dyDescent="0.45">
      <c r="A18" s="23" t="s">
        <v>25</v>
      </c>
      <c r="B18" s="24"/>
      <c r="C18" s="25"/>
    </row>
  </sheetData>
  <mergeCells count="2">
    <mergeCell ref="A1:H1"/>
    <mergeCell ref="A2:H2"/>
  </mergeCells>
  <printOptions horizontalCentered="1" verticalCentered="1"/>
  <pageMargins left="0.7" right="0.7" top="0.75" bottom="0.75" header="0.3" footer="0.3"/>
  <pageSetup orientation="landscape" r:id="rId1"/>
  <headerFooter>
    <oddHeader>&amp;C&amp;A</oddHeader>
    <oddFooter>&amp;RContestant Number
Printout 4</oddFooter>
  </headerFooter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 codeName="Sheet4"/>
  <dimension ref="A1:H18"/>
  <sheetViews>
    <sheetView view="pageLayout" zoomScaleNormal="100" workbookViewId="0">
      <selection activeCell="F23" sqref="F23"/>
    </sheetView>
  </sheetViews>
  <sheetFormatPr defaultColWidth="9.08984375" defaultRowHeight="14" x14ac:dyDescent="0.3"/>
  <cols>
    <col min="1" max="1" width="16.36328125" style="1" bestFit="1" customWidth="1"/>
    <col min="2" max="4" width="9.08984375" style="1"/>
    <col min="5" max="5" width="12.36328125" style="1" bestFit="1" customWidth="1"/>
    <col min="6" max="6" width="10.36328125" style="1" customWidth="1"/>
    <col min="7" max="7" width="12.36328125" style="1" bestFit="1" customWidth="1"/>
    <col min="8" max="8" width="11.26953125" style="1" bestFit="1" customWidth="1"/>
    <col min="9" max="16384" width="9.08984375" style="1"/>
  </cols>
  <sheetData>
    <row r="1" spans="1:8" ht="30.5" x14ac:dyDescent="0.65">
      <c r="A1" s="32" t="s">
        <v>0</v>
      </c>
      <c r="B1" s="33"/>
      <c r="C1" s="33"/>
      <c r="D1" s="33"/>
      <c r="E1" s="33"/>
      <c r="F1" s="33"/>
      <c r="G1" s="33"/>
      <c r="H1" s="34"/>
    </row>
    <row r="2" spans="1:8" ht="23.5" thickBot="1" x14ac:dyDescent="0.55000000000000004">
      <c r="A2" s="35" t="s">
        <v>19</v>
      </c>
      <c r="B2" s="36"/>
      <c r="C2" s="36"/>
      <c r="D2" s="36"/>
      <c r="E2" s="36"/>
      <c r="F2" s="36"/>
      <c r="G2" s="36"/>
      <c r="H2" s="37"/>
    </row>
    <row r="4" spans="1:8" ht="29.5" thickBot="1" x14ac:dyDescent="0.4">
      <c r="A4" s="6" t="s">
        <v>8</v>
      </c>
      <c r="B4" s="7" t="s">
        <v>2</v>
      </c>
      <c r="C4" s="7" t="s">
        <v>3</v>
      </c>
      <c r="D4" s="7" t="s">
        <v>17</v>
      </c>
      <c r="E4" s="7" t="s">
        <v>4</v>
      </c>
      <c r="F4" s="7" t="s">
        <v>5</v>
      </c>
      <c r="G4" s="7" t="s">
        <v>6</v>
      </c>
      <c r="H4" s="7" t="s">
        <v>7</v>
      </c>
    </row>
    <row r="5" spans="1:8" ht="15.5" x14ac:dyDescent="0.35">
      <c r="A5" s="2" t="s">
        <v>9</v>
      </c>
      <c r="B5" s="2">
        <v>196</v>
      </c>
      <c r="C5" s="9">
        <v>50</v>
      </c>
      <c r="D5" s="3">
        <v>98.75</v>
      </c>
      <c r="E5" s="8">
        <f>B5*D5</f>
        <v>19355</v>
      </c>
      <c r="F5" s="8">
        <f>ROUND(D5/(1-0.32),2)-C5</f>
        <v>95.22</v>
      </c>
      <c r="G5" s="8">
        <f>B5*F5</f>
        <v>18663.12</v>
      </c>
      <c r="H5" s="8">
        <f>G5-E5</f>
        <v>-691.88000000000102</v>
      </c>
    </row>
    <row r="6" spans="1:8" ht="15.5" x14ac:dyDescent="0.35">
      <c r="A6" s="2" t="s">
        <v>10</v>
      </c>
      <c r="B6" s="2">
        <v>101</v>
      </c>
      <c r="C6" s="4">
        <v>15</v>
      </c>
      <c r="D6" s="5">
        <v>127.45</v>
      </c>
      <c r="E6" s="11">
        <f t="shared" ref="E6:E11" si="0">B6*D6</f>
        <v>12872.45</v>
      </c>
      <c r="F6" s="11">
        <f t="shared" ref="F6:F11" si="1">ROUND(D6/(1-0.32),2)-C6</f>
        <v>172.43</v>
      </c>
      <c r="G6" s="11">
        <f t="shared" ref="G6:G11" si="2">B6*F6</f>
        <v>17415.43</v>
      </c>
      <c r="H6" s="11">
        <f t="shared" ref="H6:H11" si="3">G6-E6</f>
        <v>4542.9799999999996</v>
      </c>
    </row>
    <row r="7" spans="1:8" ht="15.5" x14ac:dyDescent="0.35">
      <c r="A7" s="2" t="s">
        <v>11</v>
      </c>
      <c r="B7" s="2">
        <v>298</v>
      </c>
      <c r="C7" s="4">
        <v>35</v>
      </c>
      <c r="D7" s="5">
        <v>118.75</v>
      </c>
      <c r="E7" s="11">
        <f t="shared" si="0"/>
        <v>35387.5</v>
      </c>
      <c r="F7" s="11">
        <f t="shared" si="1"/>
        <v>139.63</v>
      </c>
      <c r="G7" s="11">
        <f t="shared" si="2"/>
        <v>41609.74</v>
      </c>
      <c r="H7" s="11">
        <f t="shared" si="3"/>
        <v>6222.239999999998</v>
      </c>
    </row>
    <row r="8" spans="1:8" ht="15.5" x14ac:dyDescent="0.35">
      <c r="A8" s="2" t="s">
        <v>12</v>
      </c>
      <c r="B8" s="2">
        <v>159</v>
      </c>
      <c r="C8" s="4">
        <v>0</v>
      </c>
      <c r="D8" s="5">
        <v>101.48</v>
      </c>
      <c r="E8" s="11">
        <f t="shared" si="0"/>
        <v>16135.320000000002</v>
      </c>
      <c r="F8" s="11">
        <f t="shared" si="1"/>
        <v>149.24</v>
      </c>
      <c r="G8" s="11">
        <f t="shared" si="2"/>
        <v>23729.16</v>
      </c>
      <c r="H8" s="11">
        <f t="shared" si="3"/>
        <v>7593.8399999999983</v>
      </c>
    </row>
    <row r="9" spans="1:8" ht="15.5" x14ac:dyDescent="0.35">
      <c r="A9" s="2" t="s">
        <v>13</v>
      </c>
      <c r="B9" s="2">
        <v>210</v>
      </c>
      <c r="C9" s="4">
        <v>25</v>
      </c>
      <c r="D9" s="5">
        <v>135.27000000000001</v>
      </c>
      <c r="E9" s="11">
        <f t="shared" si="0"/>
        <v>28406.7</v>
      </c>
      <c r="F9" s="11">
        <f t="shared" si="1"/>
        <v>173.93</v>
      </c>
      <c r="G9" s="11">
        <f t="shared" si="2"/>
        <v>36525.300000000003</v>
      </c>
      <c r="H9" s="11">
        <f t="shared" si="3"/>
        <v>8118.6000000000022</v>
      </c>
    </row>
    <row r="10" spans="1:8" ht="15.5" x14ac:dyDescent="0.35">
      <c r="A10" s="2" t="s">
        <v>14</v>
      </c>
      <c r="B10" s="2">
        <v>325</v>
      </c>
      <c r="C10" s="4">
        <v>55</v>
      </c>
      <c r="D10" s="5">
        <v>165.8</v>
      </c>
      <c r="E10" s="11">
        <f t="shared" si="0"/>
        <v>53885.000000000007</v>
      </c>
      <c r="F10" s="11">
        <f t="shared" si="1"/>
        <v>188.82</v>
      </c>
      <c r="G10" s="11">
        <f t="shared" si="2"/>
        <v>61366.5</v>
      </c>
      <c r="H10" s="11">
        <f t="shared" si="3"/>
        <v>7481.4999999999927</v>
      </c>
    </row>
    <row r="11" spans="1:8" ht="15.5" x14ac:dyDescent="0.35">
      <c r="A11" s="2" t="s">
        <v>15</v>
      </c>
      <c r="B11" s="2">
        <v>259</v>
      </c>
      <c r="C11" s="4">
        <v>55</v>
      </c>
      <c r="D11" s="5">
        <v>110.25</v>
      </c>
      <c r="E11" s="11">
        <f t="shared" si="0"/>
        <v>28554.75</v>
      </c>
      <c r="F11" s="11">
        <f t="shared" si="1"/>
        <v>107.13</v>
      </c>
      <c r="G11" s="11">
        <f t="shared" si="2"/>
        <v>27746.67</v>
      </c>
      <c r="H11" s="11">
        <f t="shared" si="3"/>
        <v>-808.08000000000175</v>
      </c>
    </row>
    <row r="12" spans="1:8" s="2" customFormat="1" ht="16" thickBot="1" x14ac:dyDescent="0.4">
      <c r="A12" s="12"/>
      <c r="B12" s="12">
        <f>SUM(B5:B11)</f>
        <v>1548</v>
      </c>
      <c r="C12" s="12"/>
      <c r="D12" s="12"/>
      <c r="E12" s="13">
        <f>SUM(E5:E11)</f>
        <v>194596.72</v>
      </c>
      <c r="F12" s="12"/>
      <c r="G12" s="13">
        <f>SUM(G5:G11)</f>
        <v>227055.91999999998</v>
      </c>
      <c r="H12" s="13">
        <f>SUM(H5:H11)</f>
        <v>32459.199999999983</v>
      </c>
    </row>
    <row r="13" spans="1:8" ht="30" customHeight="1" thickTop="1" x14ac:dyDescent="0.35">
      <c r="A13" s="2"/>
      <c r="B13" s="2"/>
      <c r="C13" s="2"/>
      <c r="D13" s="2"/>
      <c r="E13" s="2"/>
      <c r="F13" s="2"/>
      <c r="G13" s="2"/>
      <c r="H13" s="2"/>
    </row>
    <row r="15" spans="1:8" ht="14.5" thickBot="1" x14ac:dyDescent="0.35"/>
    <row r="16" spans="1:8" ht="20" x14ac:dyDescent="0.4">
      <c r="A16" s="17" t="s">
        <v>0</v>
      </c>
      <c r="B16" s="18"/>
      <c r="C16" s="19"/>
    </row>
    <row r="17" spans="1:3" ht="20" x14ac:dyDescent="0.4">
      <c r="A17" s="20" t="s">
        <v>24</v>
      </c>
      <c r="B17" s="21"/>
      <c r="C17" s="22"/>
    </row>
    <row r="18" spans="1:3" ht="20.5" thickBot="1" x14ac:dyDescent="0.45">
      <c r="A18" s="23" t="s">
        <v>25</v>
      </c>
      <c r="B18" s="24"/>
      <c r="C18" s="25"/>
    </row>
  </sheetData>
  <mergeCells count="2">
    <mergeCell ref="A1:H1"/>
    <mergeCell ref="A2:H2"/>
  </mergeCells>
  <printOptions horizontalCentered="1" verticalCentered="1"/>
  <pageMargins left="0.7" right="0.7" top="0.75" bottom="0.75" header="0.3" footer="0.3"/>
  <pageSetup orientation="landscape" r:id="rId1"/>
  <headerFooter>
    <oddHeader>&amp;C&amp;A</oddHeader>
    <oddFooter>&amp;RContestant Number
Printout 5</oddFooter>
  </headerFooter>
</worksheet>
</file>

<file path=xl/worksheets/sheet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 codeName="Sheet5"/>
  <dimension ref="A1:I3"/>
  <sheetViews>
    <sheetView view="pageLayout" zoomScaleNormal="100" workbookViewId="0">
      <selection activeCell="J17" sqref="J17"/>
    </sheetView>
  </sheetViews>
  <sheetFormatPr defaultRowHeight="14.5" x14ac:dyDescent="0.35"/>
  <cols>
    <col min="1" max="1" width="15.81640625" customWidth="1"/>
    <col min="2" max="2" width="16.26953125" customWidth="1"/>
    <col min="3" max="3" width="7.7265625" customWidth="1"/>
    <col min="4" max="4" width="9.7265625" bestFit="1" customWidth="1"/>
    <col min="5" max="5" width="6.08984375" customWidth="1"/>
    <col min="6" max="6" width="6.81640625" customWidth="1"/>
    <col min="7" max="7" width="12.7265625" bestFit="1" customWidth="1"/>
    <col min="8" max="8" width="7.7265625" customWidth="1"/>
    <col min="9" max="9" width="11.26953125" bestFit="1" customWidth="1"/>
  </cols>
  <sheetData>
    <row r="1" spans="1:9" x14ac:dyDescent="0.35">
      <c r="B1" s="15" t="s">
        <v>23</v>
      </c>
    </row>
    <row r="2" spans="1:9" x14ac:dyDescent="0.35">
      <c r="B2" t="s">
        <v>9</v>
      </c>
      <c r="C2" t="s">
        <v>11</v>
      </c>
      <c r="D2" t="s">
        <v>15</v>
      </c>
      <c r="E2" t="s">
        <v>10</v>
      </c>
      <c r="F2" t="s">
        <v>12</v>
      </c>
      <c r="G2" t="s">
        <v>13</v>
      </c>
      <c r="H2" t="s">
        <v>14</v>
      </c>
      <c r="I2" t="s">
        <v>21</v>
      </c>
    </row>
    <row r="3" spans="1:9" x14ac:dyDescent="0.35">
      <c r="A3" t="s">
        <v>22</v>
      </c>
      <c r="B3" s="16">
        <v>2.2948397296751348E-2</v>
      </c>
      <c r="C3" s="16">
        <v>0.17679052843828974</v>
      </c>
      <c r="D3" s="16">
        <v>-2.0432397798096486E-2</v>
      </c>
      <c r="E3" s="16">
        <v>0.16962848160763927</v>
      </c>
      <c r="F3" s="16">
        <v>0.1519007091778197</v>
      </c>
      <c r="G3" s="16">
        <v>0.1874432532981562</v>
      </c>
      <c r="H3" s="16">
        <v>0.31172102797944012</v>
      </c>
      <c r="I3" s="16">
        <v>1</v>
      </c>
    </row>
  </sheetData>
  <printOptions headings="1"/>
  <pageMargins left="0.7" right="0.7" top="0.75" bottom="0.75" header="0.3" footer="0.3"/>
  <pageSetup orientation="landscape" r:id="rId2"/>
  <headerFooter>
    <oddHeader>&amp;C&amp;A</oddHeader>
    <oddFooter>&amp;RContestant Number
Printout 6</oddFooter>
  </headerFooter>
  <drawing r:id="rId3"/>
</worksheet>
</file>

<file path=xl/worksheets/sheet7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 codeName="Sheet6">
    <pageSetUpPr fitToPage="1"/>
  </sheetPr>
  <dimension ref="A1"/>
  <sheetViews>
    <sheetView workbookViewId="0"/>
  </sheetViews>
  <sheetFormatPr defaultRowHeight="14.5" x14ac:dyDescent="0.35"/>
  <sheetData/>
  <pageMargins left="0.7" right="0.7" top="0.75" bottom="0.75" header="0.3" footer="0.3"/>
  <pageSetup scale="76" orientation="portrait" r:id="rId1"/>
  <drawing r:id="rId2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7</vt:i4>
      </vt:variant>
    </vt:vector>
  </HeadingPairs>
  <TitlesOfParts>
    <vt:vector size="7" baseType="lpstr">
      <vt:lpstr>Consolidated</vt:lpstr>
      <vt:lpstr>Printout2</vt:lpstr>
      <vt:lpstr>Miami</vt:lpstr>
      <vt:lpstr>Orlando</vt:lpstr>
      <vt:lpstr>Jacksonville</vt:lpstr>
      <vt:lpstr>Pivot_Chart</vt:lpstr>
      <vt:lpstr>Printout 7</vt:lpstr>
    </vt:vector>
  </TitlesOfParts>
  <Company>Greene County Career Center</Company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Windows User</dc:creator>
  <cp:lastModifiedBy>McNew, Amber</cp:lastModifiedBy>
  <cp:lastPrinted>2018-05-18T18:25:50Z</cp:lastPrinted>
  <dcterms:created xsi:type="dcterms:W3CDTF">2018-05-15T18:10:00Z</dcterms:created>
  <dcterms:modified xsi:type="dcterms:W3CDTF">2020-11-19T21:00:03Z</dcterms:modified>
</cp:coreProperties>
</file>