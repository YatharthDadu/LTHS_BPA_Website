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bryant\Desktop\BPA Tests\Advanced Excel\"/>
    </mc:Choice>
  </mc:AlternateContent>
  <bookViews>
    <workbookView xWindow="0" yWindow="0" windowWidth="9990" windowHeight="7620" tabRatio="864" firstSheet="1" activeTab="1"/>
  </bookViews>
  <sheets>
    <sheet name="ticket sheet" sheetId="66" state="hidden" r:id="rId1"/>
    <sheet name="Breakdown" sheetId="97" r:id="rId2"/>
    <sheet name="Nov 27" sheetId="93" state="hidden" r:id="rId3"/>
    <sheet name="SALES" sheetId="98" r:id="rId4"/>
    <sheet name="Dec 5" sheetId="56" state="hidden" r:id="rId5"/>
    <sheet name="11-24-17" sheetId="3" state="hidden" r:id="rId6"/>
    <sheet name="11-25-17" sheetId="4" state="hidden" r:id="rId7"/>
    <sheet name="11-26-17" sheetId="6" state="hidden" r:id="rId8"/>
    <sheet name="11-27-17" sheetId="7" state="hidden" r:id="rId9"/>
    <sheet name="11-28-17" sheetId="9" state="hidden" r:id="rId10"/>
    <sheet name="11-29-17" sheetId="10" state="hidden" r:id="rId11"/>
    <sheet name="11-30-17" sheetId="11" state="hidden" r:id="rId12"/>
    <sheet name="12-1-17" sheetId="12" state="hidden" r:id="rId13"/>
    <sheet name="12-2-17" sheetId="13" state="hidden" r:id="rId14"/>
    <sheet name="12-3-17" sheetId="14" state="hidden" r:id="rId15"/>
    <sheet name="12-4-17" sheetId="15" state="hidden" r:id="rId16"/>
    <sheet name="12-5-17" sheetId="16" state="hidden" r:id="rId17"/>
    <sheet name="12-6-17" sheetId="18" state="hidden" r:id="rId18"/>
    <sheet name="12-7-17" sheetId="19" state="hidden" r:id="rId19"/>
    <sheet name="12-8-17" sheetId="20" state="hidden" r:id="rId20"/>
    <sheet name="12-9-17" sheetId="21" state="hidden" r:id="rId21"/>
    <sheet name="12-10-17" sheetId="22" state="hidden" r:id="rId22"/>
    <sheet name="12-11-17" sheetId="23" state="hidden" r:id="rId23"/>
    <sheet name="12-12-17" sheetId="24" state="hidden" r:id="rId24"/>
    <sheet name="12-13-17" sheetId="25" state="hidden" r:id="rId25"/>
    <sheet name="12-14-17" sheetId="26" state="hidden" r:id="rId26"/>
    <sheet name="12-15-17" sheetId="27" state="hidden" r:id="rId27"/>
    <sheet name="12-16-17" sheetId="28" state="hidden" r:id="rId28"/>
    <sheet name="12-17-17" sheetId="29" state="hidden" r:id="rId29"/>
    <sheet name="12-18-17" sheetId="30" state="hidden" r:id="rId30"/>
    <sheet name="12-19-17" sheetId="31" state="hidden" r:id="rId31"/>
    <sheet name="12-20-17" sheetId="32" state="hidden" r:id="rId32"/>
    <sheet name="12-21-17" sheetId="33" state="hidden" r:id="rId33"/>
    <sheet name="12-22-17" sheetId="34" state="hidden" r:id="rId34"/>
    <sheet name="12-23-17" sheetId="35" state="hidden" r:id="rId35"/>
    <sheet name="12-26-17" sheetId="36" state="hidden" r:id="rId36"/>
    <sheet name="12-27-17" sheetId="37" state="hidden" r:id="rId37"/>
    <sheet name="12-28-17" sheetId="38" state="hidden" r:id="rId38"/>
    <sheet name="12-29-17" sheetId="39" state="hidden" r:id="rId39"/>
    <sheet name="12-30-17" sheetId="40" state="hidden" r:id="rId40"/>
    <sheet name="12-31-17" sheetId="41" state="hidden" r:id="rId41"/>
  </sheets>
  <definedNames>
    <definedName name="_xlnm._FilterDatabase" localSheetId="1" hidden="1">Breakdown!#REF!</definedName>
    <definedName name="_xlnm.Print_Area" localSheetId="5">'11-24-17'!$A$1:$W$68</definedName>
    <definedName name="_xlnm.Print_Area" localSheetId="7">'11-26-17'!$A$1:$Y$71</definedName>
    <definedName name="_xlnm.Print_Area" localSheetId="11">'11-30-17'!$A$1:$Y$69</definedName>
    <definedName name="_xlnm.Print_Area" localSheetId="0">'ticket sheet'!$A$1:$H$25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6" i="93" l="1"/>
  <c r="D89" i="93" s="1"/>
  <c r="J78" i="93"/>
  <c r="J77" i="93"/>
  <c r="J76" i="93"/>
  <c r="J75" i="93"/>
  <c r="J79" i="93" l="1"/>
  <c r="AH40" i="56" l="1"/>
  <c r="AH45" i="56" s="1"/>
  <c r="AH47" i="56" s="1"/>
  <c r="AH56" i="56" s="1"/>
  <c r="AH60" i="56" s="1"/>
  <c r="AF40" i="56"/>
  <c r="AF45" i="56" s="1"/>
  <c r="AF47" i="56" s="1"/>
  <c r="AF56" i="56" s="1"/>
  <c r="AF60" i="56" s="1"/>
  <c r="AD40" i="56"/>
  <c r="AB40" i="56"/>
  <c r="AB45" i="56" s="1"/>
  <c r="AB47" i="56" s="1"/>
  <c r="AB56" i="56" s="1"/>
  <c r="AB60" i="56" s="1"/>
  <c r="Z40" i="56"/>
  <c r="X40" i="56"/>
  <c r="V40" i="56"/>
  <c r="V45" i="56" s="1"/>
  <c r="R40" i="56"/>
  <c r="P40" i="56"/>
  <c r="N40" i="56"/>
  <c r="L40" i="56"/>
  <c r="J40" i="56"/>
  <c r="H40" i="56"/>
  <c r="F40" i="56"/>
  <c r="F45" i="56" s="1"/>
  <c r="D40" i="56"/>
  <c r="D45" i="56" s="1"/>
  <c r="F65" i="56"/>
  <c r="Q64" i="56"/>
  <c r="Q63" i="56"/>
  <c r="Q65" i="56" s="1"/>
  <c r="F63" i="56"/>
  <c r="AG60" i="56"/>
  <c r="AE60" i="56"/>
  <c r="AC60" i="56"/>
  <c r="AA60" i="56"/>
  <c r="Y60" i="56"/>
  <c r="W60" i="56"/>
  <c r="U60" i="56"/>
  <c r="S60" i="56"/>
  <c r="AJ59" i="56"/>
  <c r="AJ53" i="56"/>
  <c r="AH53" i="56"/>
  <c r="AF53" i="56"/>
  <c r="AD53" i="56"/>
  <c r="AB53" i="56"/>
  <c r="Z53" i="56"/>
  <c r="X53" i="56"/>
  <c r="V53" i="56"/>
  <c r="T53" i="56"/>
  <c r="R53" i="56"/>
  <c r="Q53" i="56"/>
  <c r="P53" i="56"/>
  <c r="N53" i="56"/>
  <c r="L53" i="56"/>
  <c r="J53" i="56"/>
  <c r="H53" i="56"/>
  <c r="F53" i="56"/>
  <c r="D53" i="56"/>
  <c r="V46" i="56"/>
  <c r="T46" i="56"/>
  <c r="R46" i="56"/>
  <c r="P46" i="56"/>
  <c r="N46" i="56"/>
  <c r="L46" i="56"/>
  <c r="J46" i="56"/>
  <c r="H46" i="56"/>
  <c r="F46" i="56"/>
  <c r="D46" i="56"/>
  <c r="T45" i="56"/>
  <c r="R45" i="56"/>
  <c r="R47" i="56" s="1"/>
  <c r="P45" i="56"/>
  <c r="N45" i="56"/>
  <c r="N47" i="56" s="1"/>
  <c r="N56" i="56" s="1"/>
  <c r="N60" i="56" s="1"/>
  <c r="H45" i="56"/>
  <c r="AD45" i="56"/>
  <c r="AD47" i="56" s="1"/>
  <c r="AD56" i="56" s="1"/>
  <c r="AD60" i="56" s="1"/>
  <c r="Z45" i="56"/>
  <c r="Z47" i="56" s="1"/>
  <c r="Z56" i="56" s="1"/>
  <c r="Z60" i="56" s="1"/>
  <c r="X45" i="56"/>
  <c r="X47" i="56" s="1"/>
  <c r="X56" i="56" s="1"/>
  <c r="X60" i="56" s="1"/>
  <c r="L45" i="56"/>
  <c r="J45" i="56"/>
  <c r="J47" i="56" s="1"/>
  <c r="J56" i="56" s="1"/>
  <c r="J60" i="56" s="1"/>
  <c r="X16" i="56"/>
  <c r="V16" i="56"/>
  <c r="T16" i="56"/>
  <c r="R16" i="56"/>
  <c r="P16" i="56"/>
  <c r="N16" i="56"/>
  <c r="L16" i="56"/>
  <c r="H16" i="56"/>
  <c r="H18" i="56" s="1"/>
  <c r="F16" i="56"/>
  <c r="F18" i="56" s="1"/>
  <c r="D16" i="56"/>
  <c r="Z16" i="56"/>
  <c r="L47" i="56" l="1"/>
  <c r="L56" i="56" s="1"/>
  <c r="L60" i="56" s="1"/>
  <c r="H47" i="56"/>
  <c r="H56" i="56" s="1"/>
  <c r="H60" i="56" s="1"/>
  <c r="P47" i="56"/>
  <c r="P56" i="56" s="1"/>
  <c r="P60" i="56" s="1"/>
  <c r="D47" i="56"/>
  <c r="Q47" i="56" s="1"/>
  <c r="V47" i="56"/>
  <c r="V56" i="56" s="1"/>
  <c r="V60" i="56" s="1"/>
  <c r="F47" i="56"/>
  <c r="F56" i="56" s="1"/>
  <c r="F60" i="56" s="1"/>
  <c r="T47" i="56"/>
  <c r="R21" i="56"/>
  <c r="D18" i="56"/>
  <c r="D20" i="56" s="1"/>
  <c r="H69" i="56" s="1"/>
  <c r="R20" i="56"/>
  <c r="T56" i="56"/>
  <c r="T60" i="56" s="1"/>
  <c r="P64" i="56"/>
  <c r="R64" i="56" s="1"/>
  <c r="AJ47" i="56"/>
  <c r="R56" i="56"/>
  <c r="R60" i="56" s="1"/>
  <c r="P63" i="56"/>
  <c r="D63" i="56" l="1"/>
  <c r="D56" i="56"/>
  <c r="D60" i="56" s="1"/>
  <c r="R22" i="56"/>
  <c r="R25" i="56" s="1"/>
  <c r="R31" i="56" s="1"/>
  <c r="R63" i="56"/>
  <c r="R65" i="56" s="1"/>
  <c r="P65" i="56"/>
  <c r="AJ56" i="56"/>
  <c r="AJ60" i="56" s="1"/>
  <c r="AJ49" i="56"/>
  <c r="D65" i="56"/>
  <c r="H63" i="56"/>
  <c r="H65" i="56" s="1"/>
  <c r="AJ65" i="56" l="1"/>
  <c r="H70" i="56"/>
  <c r="AD40" i="93" l="1"/>
  <c r="AD45" i="93" s="1"/>
  <c r="AD47" i="93" s="1"/>
  <c r="AF40" i="93"/>
  <c r="AB40" i="93"/>
  <c r="AB45" i="93" s="1"/>
  <c r="AB47" i="93" s="1"/>
  <c r="AB56" i="93" s="1"/>
  <c r="AB60" i="93" s="1"/>
  <c r="X40" i="93"/>
  <c r="V40" i="93"/>
  <c r="V45" i="93" s="1"/>
  <c r="Q64" i="93"/>
  <c r="Q63" i="93"/>
  <c r="Q65" i="93" s="1"/>
  <c r="F63" i="93"/>
  <c r="F65" i="93" s="1"/>
  <c r="AG60" i="93"/>
  <c r="AE60" i="93"/>
  <c r="AC60" i="93"/>
  <c r="AA60" i="93"/>
  <c r="Y60" i="93"/>
  <c r="W60" i="93"/>
  <c r="U60" i="93"/>
  <c r="S60" i="93"/>
  <c r="AJ59" i="93"/>
  <c r="AJ53" i="93"/>
  <c r="AH53" i="93"/>
  <c r="AF53" i="93"/>
  <c r="AD53" i="93"/>
  <c r="AB53" i="93"/>
  <c r="Z53" i="93"/>
  <c r="X53" i="93"/>
  <c r="V53" i="93"/>
  <c r="T53" i="93"/>
  <c r="R53" i="93"/>
  <c r="P53" i="93"/>
  <c r="N53" i="93"/>
  <c r="L53" i="93"/>
  <c r="J53" i="93"/>
  <c r="H53" i="93"/>
  <c r="F53" i="93"/>
  <c r="D53" i="93"/>
  <c r="AH46" i="93"/>
  <c r="AH47" i="93" s="1"/>
  <c r="AH56" i="93" s="1"/>
  <c r="AH60" i="93" s="1"/>
  <c r="Z46" i="93"/>
  <c r="Z47" i="93" s="1"/>
  <c r="V46" i="93"/>
  <c r="T46" i="93"/>
  <c r="T47" i="93" s="1"/>
  <c r="T56" i="93" s="1"/>
  <c r="R46" i="93"/>
  <c r="R47" i="93" s="1"/>
  <c r="P46" i="93"/>
  <c r="P47" i="93" s="1"/>
  <c r="P56" i="93" s="1"/>
  <c r="P60" i="93" s="1"/>
  <c r="N46" i="93"/>
  <c r="L46" i="93"/>
  <c r="L47" i="93" s="1"/>
  <c r="L56" i="93" s="1"/>
  <c r="L60" i="93" s="1"/>
  <c r="J46" i="93"/>
  <c r="J47" i="93" s="1"/>
  <c r="J56" i="93" s="1"/>
  <c r="J60" i="93" s="1"/>
  <c r="H46" i="93"/>
  <c r="H47" i="93" s="1"/>
  <c r="H56" i="93" s="1"/>
  <c r="H60" i="93" s="1"/>
  <c r="AF45" i="93"/>
  <c r="AF47" i="93" s="1"/>
  <c r="AF56" i="93" s="1"/>
  <c r="AF60" i="93" s="1"/>
  <c r="X45" i="93"/>
  <c r="X47" i="93" s="1"/>
  <c r="N47" i="93"/>
  <c r="N56" i="93" s="1"/>
  <c r="N60" i="93" s="1"/>
  <c r="Z16" i="93"/>
  <c r="X16" i="93"/>
  <c r="V16" i="93"/>
  <c r="T16" i="93"/>
  <c r="R16" i="93"/>
  <c r="P16" i="93"/>
  <c r="N16" i="93"/>
  <c r="L16" i="93"/>
  <c r="H18" i="93"/>
  <c r="F18" i="93"/>
  <c r="R21" i="93"/>
  <c r="T60" i="93" l="1"/>
  <c r="Z56" i="93"/>
  <c r="Z60" i="93" s="1"/>
  <c r="AD56" i="93"/>
  <c r="AD60" i="93" s="1"/>
  <c r="V47" i="93"/>
  <c r="V56" i="93" s="1"/>
  <c r="V60" i="93" s="1"/>
  <c r="Q53" i="93"/>
  <c r="R20" i="93"/>
  <c r="R22" i="93" s="1"/>
  <c r="R25" i="93" s="1"/>
  <c r="R31" i="93" s="1"/>
  <c r="X56" i="93"/>
  <c r="X60" i="93" s="1"/>
  <c r="R63" i="93"/>
  <c r="D65" i="93"/>
  <c r="H63" i="93"/>
  <c r="H65" i="93" s="1"/>
  <c r="AJ47" i="93"/>
  <c r="AJ49" i="93" s="1"/>
  <c r="D18" i="93"/>
  <c r="D20" i="93" s="1"/>
  <c r="H69" i="93" s="1"/>
  <c r="R56" i="93"/>
  <c r="R60" i="93" s="1"/>
  <c r="AJ78" i="93" l="1"/>
  <c r="H70" i="93"/>
  <c r="D46" i="93" l="1"/>
  <c r="D47" i="93" s="1"/>
  <c r="F46" i="93"/>
  <c r="F47" i="93" s="1"/>
  <c r="F56" i="93" s="1"/>
  <c r="F60" i="93" s="1"/>
  <c r="I43" i="40"/>
  <c r="I52" i="40" s="1"/>
  <c r="I54" i="40" s="1"/>
  <c r="I60" i="40" s="1"/>
  <c r="I63" i="40" s="1"/>
  <c r="G43" i="40"/>
  <c r="G65" i="40"/>
  <c r="E43" i="40"/>
  <c r="E65" i="40"/>
  <c r="C43" i="40"/>
  <c r="C65" i="40"/>
  <c r="E43" i="41"/>
  <c r="E52" i="41"/>
  <c r="E54" i="41" s="1"/>
  <c r="E65" i="41"/>
  <c r="C43" i="41"/>
  <c r="Y8" i="41"/>
  <c r="U8" i="41"/>
  <c r="U19" i="41" s="1"/>
  <c r="O63" i="41"/>
  <c r="Q57" i="41"/>
  <c r="Q52" i="41"/>
  <c r="O52" i="41"/>
  <c r="M52" i="41"/>
  <c r="M54" i="41" s="1"/>
  <c r="M60" i="41" s="1"/>
  <c r="M63" i="41" s="1"/>
  <c r="K52" i="41"/>
  <c r="K54" i="41" s="1"/>
  <c r="K60" i="41" s="1"/>
  <c r="K63" i="41" s="1"/>
  <c r="I52" i="41"/>
  <c r="I54" i="41"/>
  <c r="I60" i="41" s="1"/>
  <c r="I63" i="41" s="1"/>
  <c r="G52" i="41"/>
  <c r="G54" i="41" s="1"/>
  <c r="G60" i="41" s="1"/>
  <c r="G63" i="41" s="1"/>
  <c r="C52" i="41"/>
  <c r="C54" i="41" s="1"/>
  <c r="C60" i="41" s="1"/>
  <c r="C63" i="41" s="1"/>
  <c r="Y19" i="41"/>
  <c r="W19" i="41"/>
  <c r="S19" i="41"/>
  <c r="Q19" i="41"/>
  <c r="O19" i="41"/>
  <c r="M19" i="41"/>
  <c r="K19" i="41"/>
  <c r="I19" i="41"/>
  <c r="G19" i="41"/>
  <c r="E19" i="41"/>
  <c r="C19" i="41"/>
  <c r="O33" i="40"/>
  <c r="O63" i="40"/>
  <c r="Q57" i="40"/>
  <c r="Q52" i="40"/>
  <c r="O52" i="40"/>
  <c r="K52" i="40"/>
  <c r="K54" i="40" s="1"/>
  <c r="K60" i="40" s="1"/>
  <c r="K63" i="40" s="1"/>
  <c r="C52" i="40"/>
  <c r="C54" i="40" s="1"/>
  <c r="M52" i="40"/>
  <c r="M54" i="40" s="1"/>
  <c r="M60" i="40" s="1"/>
  <c r="M63" i="40" s="1"/>
  <c r="G52" i="40"/>
  <c r="G54" i="40" s="1"/>
  <c r="G60" i="40" s="1"/>
  <c r="G63" i="40" s="1"/>
  <c r="E52" i="40"/>
  <c r="E54" i="40"/>
  <c r="E60" i="40" s="1"/>
  <c r="E63" i="40" s="1"/>
  <c r="Y19" i="40"/>
  <c r="W19" i="40"/>
  <c r="U19" i="40"/>
  <c r="S19" i="40"/>
  <c r="Q19" i="40"/>
  <c r="O19" i="40"/>
  <c r="M19" i="40"/>
  <c r="K19" i="40"/>
  <c r="I19" i="40"/>
  <c r="G19" i="40"/>
  <c r="E19" i="40"/>
  <c r="C19" i="40"/>
  <c r="O24" i="40" s="1"/>
  <c r="M43" i="39"/>
  <c r="M52" i="39" s="1"/>
  <c r="M54" i="39" s="1"/>
  <c r="M60" i="39" s="1"/>
  <c r="M63" i="39" s="1"/>
  <c r="M65" i="39"/>
  <c r="K43" i="39"/>
  <c r="I43" i="39"/>
  <c r="I52" i="39" s="1"/>
  <c r="I54" i="39" s="1"/>
  <c r="I60" i="39" s="1"/>
  <c r="I63" i="39" s="1"/>
  <c r="I65" i="39"/>
  <c r="G43" i="39"/>
  <c r="G52" i="39" s="1"/>
  <c r="G54" i="39" s="1"/>
  <c r="G60" i="39" s="1"/>
  <c r="G63" i="39" s="1"/>
  <c r="E43" i="39"/>
  <c r="E52" i="39" s="1"/>
  <c r="E54" i="39" s="1"/>
  <c r="E60" i="39" s="1"/>
  <c r="E63" i="39" s="1"/>
  <c r="E65" i="39"/>
  <c r="C43" i="39"/>
  <c r="C52" i="39" s="1"/>
  <c r="C54" i="39" s="1"/>
  <c r="C8" i="39"/>
  <c r="O63" i="39"/>
  <c r="Q57" i="39"/>
  <c r="Q52" i="39"/>
  <c r="O52" i="39"/>
  <c r="K52" i="39"/>
  <c r="K54" i="39" s="1"/>
  <c r="K60" i="39" s="1"/>
  <c r="K63" i="39" s="1"/>
  <c r="W19" i="39"/>
  <c r="U19" i="39"/>
  <c r="S19" i="39"/>
  <c r="Q19" i="39"/>
  <c r="O19" i="39"/>
  <c r="M19" i="39"/>
  <c r="K19" i="39"/>
  <c r="I19" i="39"/>
  <c r="G19" i="39"/>
  <c r="E19" i="39"/>
  <c r="C19" i="39"/>
  <c r="Y19" i="39"/>
  <c r="O30" i="37"/>
  <c r="I43" i="38"/>
  <c r="M43" i="38"/>
  <c r="K43" i="38"/>
  <c r="K52" i="38"/>
  <c r="K54" i="38" s="1"/>
  <c r="K60" i="38" s="1"/>
  <c r="K63" i="38" s="1"/>
  <c r="I65" i="38"/>
  <c r="G43" i="38"/>
  <c r="G52" i="38" s="1"/>
  <c r="G54" i="38" s="1"/>
  <c r="G60" i="38" s="1"/>
  <c r="G63" i="38" s="1"/>
  <c r="G65" i="38"/>
  <c r="E43" i="38"/>
  <c r="E52" i="38" s="1"/>
  <c r="E54" i="38" s="1"/>
  <c r="E60" i="38" s="1"/>
  <c r="E63" i="38" s="1"/>
  <c r="E65" i="38"/>
  <c r="C43" i="38"/>
  <c r="C65" i="38"/>
  <c r="Y8" i="38"/>
  <c r="Y19" i="38" s="1"/>
  <c r="U8" i="38"/>
  <c r="O63" i="38"/>
  <c r="Q57" i="38"/>
  <c r="Q52" i="38"/>
  <c r="O52" i="38"/>
  <c r="M52" i="38"/>
  <c r="M54" i="38" s="1"/>
  <c r="M60" i="38" s="1"/>
  <c r="M63" i="38" s="1"/>
  <c r="I52" i="38"/>
  <c r="I54" i="38" s="1"/>
  <c r="I60" i="38" s="1"/>
  <c r="I63" i="38" s="1"/>
  <c r="C52" i="38"/>
  <c r="C54" i="38" s="1"/>
  <c r="W19" i="38"/>
  <c r="U19" i="38"/>
  <c r="S19" i="38"/>
  <c r="Q19" i="38"/>
  <c r="O19" i="38"/>
  <c r="M19" i="38"/>
  <c r="K19" i="38"/>
  <c r="I19" i="38"/>
  <c r="G19" i="38"/>
  <c r="E19" i="38"/>
  <c r="C19" i="38"/>
  <c r="O24" i="38"/>
  <c r="E43" i="37"/>
  <c r="E52" i="37" s="1"/>
  <c r="E54" i="37" s="1"/>
  <c r="E60" i="37" s="1"/>
  <c r="C43" i="37"/>
  <c r="C65" i="37"/>
  <c r="O63" i="37"/>
  <c r="Q57" i="37"/>
  <c r="Q52" i="37"/>
  <c r="O52" i="37"/>
  <c r="M52" i="37"/>
  <c r="M54" i="37" s="1"/>
  <c r="M60" i="37" s="1"/>
  <c r="M63" i="37" s="1"/>
  <c r="K52" i="37"/>
  <c r="K54" i="37"/>
  <c r="K60" i="37" s="1"/>
  <c r="K63" i="37" s="1"/>
  <c r="I52" i="37"/>
  <c r="I54" i="37" s="1"/>
  <c r="I60" i="37" s="1"/>
  <c r="I63" i="37" s="1"/>
  <c r="C52" i="37"/>
  <c r="C54" i="37"/>
  <c r="C60" i="37" s="1"/>
  <c r="C63" i="37" s="1"/>
  <c r="G52" i="37"/>
  <c r="G54" i="37" s="1"/>
  <c r="G60" i="37" s="1"/>
  <c r="G63" i="37" s="1"/>
  <c r="E63" i="37"/>
  <c r="Y19" i="37"/>
  <c r="W19" i="37"/>
  <c r="U19" i="37"/>
  <c r="S19" i="37"/>
  <c r="Q19" i="37"/>
  <c r="O19" i="37"/>
  <c r="M19" i="37"/>
  <c r="K19" i="37"/>
  <c r="O23" i="37" s="1"/>
  <c r="O25" i="37" s="1"/>
  <c r="O28" i="37" s="1"/>
  <c r="O35" i="37" s="1"/>
  <c r="I19" i="37"/>
  <c r="G19" i="37"/>
  <c r="E19" i="37"/>
  <c r="C19" i="37"/>
  <c r="K43" i="36"/>
  <c r="K52" i="36" s="1"/>
  <c r="K54" i="36" s="1"/>
  <c r="K60" i="36" s="1"/>
  <c r="K63" i="36" s="1"/>
  <c r="I43" i="36"/>
  <c r="I52" i="36" s="1"/>
  <c r="I54" i="36" s="1"/>
  <c r="I60" i="36" s="1"/>
  <c r="I63" i="36" s="1"/>
  <c r="G43" i="36"/>
  <c r="E43" i="36"/>
  <c r="E65" i="36"/>
  <c r="C43" i="36"/>
  <c r="C52" i="36" s="1"/>
  <c r="C54" i="36" s="1"/>
  <c r="C60" i="36" s="1"/>
  <c r="C63" i="36" s="1"/>
  <c r="O63" i="36"/>
  <c r="Q57" i="36"/>
  <c r="Q52" i="36"/>
  <c r="O52" i="36"/>
  <c r="M52" i="36"/>
  <c r="M54" i="36" s="1"/>
  <c r="M60" i="36" s="1"/>
  <c r="M63" i="36" s="1"/>
  <c r="G52" i="36"/>
  <c r="G54" i="36" s="1"/>
  <c r="G60" i="36" s="1"/>
  <c r="G63" i="36" s="1"/>
  <c r="E52" i="36"/>
  <c r="E54" i="36" s="1"/>
  <c r="Y19" i="36"/>
  <c r="W19" i="36"/>
  <c r="U19" i="36"/>
  <c r="S19" i="36"/>
  <c r="Q19" i="36"/>
  <c r="O19" i="36"/>
  <c r="M19" i="36"/>
  <c r="K19" i="36"/>
  <c r="I19" i="36"/>
  <c r="E19" i="36"/>
  <c r="G19" i="36"/>
  <c r="C19" i="36"/>
  <c r="M65" i="35"/>
  <c r="M43" i="35"/>
  <c r="M52" i="35" s="1"/>
  <c r="M54" i="35" s="1"/>
  <c r="M60" i="35" s="1"/>
  <c r="M63" i="35" s="1"/>
  <c r="K43" i="35"/>
  <c r="K65" i="35"/>
  <c r="I43" i="35"/>
  <c r="I65" i="35"/>
  <c r="G43" i="35"/>
  <c r="G52" i="35" s="1"/>
  <c r="G54" i="35" s="1"/>
  <c r="G60" i="35" s="1"/>
  <c r="G63" i="35" s="1"/>
  <c r="G65" i="35"/>
  <c r="E43" i="35"/>
  <c r="E52" i="35" s="1"/>
  <c r="E54" i="35" s="1"/>
  <c r="E60" i="35" s="1"/>
  <c r="E63" i="35" s="1"/>
  <c r="E65" i="35"/>
  <c r="C43" i="35"/>
  <c r="C65" i="35"/>
  <c r="C17" i="35"/>
  <c r="C19" i="35"/>
  <c r="U17" i="35"/>
  <c r="U19" i="35" s="1"/>
  <c r="G17" i="35"/>
  <c r="G19" i="35"/>
  <c r="O63" i="35"/>
  <c r="Q57" i="35"/>
  <c r="Q52" i="35"/>
  <c r="O52" i="35"/>
  <c r="K52" i="35"/>
  <c r="K54" i="35" s="1"/>
  <c r="K60" i="35" s="1"/>
  <c r="K63" i="35" s="1"/>
  <c r="C52" i="35"/>
  <c r="C54" i="35" s="1"/>
  <c r="I52" i="35"/>
  <c r="I54" i="35"/>
  <c r="I60" i="35" s="1"/>
  <c r="I63" i="35" s="1"/>
  <c r="Y19" i="35"/>
  <c r="W19" i="35"/>
  <c r="S19" i="35"/>
  <c r="Q19" i="35"/>
  <c r="O19" i="35"/>
  <c r="M19" i="35"/>
  <c r="K19" i="35"/>
  <c r="I19" i="35"/>
  <c r="E19" i="35"/>
  <c r="M43" i="34"/>
  <c r="K43" i="34"/>
  <c r="K52" i="34" s="1"/>
  <c r="K54" i="34" s="1"/>
  <c r="K60" i="34" s="1"/>
  <c r="K63" i="34" s="1"/>
  <c r="K65" i="34"/>
  <c r="I43" i="34"/>
  <c r="I52" i="34" s="1"/>
  <c r="I54" i="34" s="1"/>
  <c r="I60" i="34" s="1"/>
  <c r="I63" i="34" s="1"/>
  <c r="I65" i="34"/>
  <c r="G43" i="34"/>
  <c r="G65" i="34"/>
  <c r="E43" i="34"/>
  <c r="E52" i="34" s="1"/>
  <c r="E54" i="34" s="1"/>
  <c r="E60" i="34" s="1"/>
  <c r="E63" i="34" s="1"/>
  <c r="E65" i="34"/>
  <c r="C43" i="34"/>
  <c r="C65" i="34"/>
  <c r="O63" i="34"/>
  <c r="Q57" i="34"/>
  <c r="Q52" i="34"/>
  <c r="O52" i="34"/>
  <c r="M52" i="34"/>
  <c r="M54" i="34" s="1"/>
  <c r="M60" i="34" s="1"/>
  <c r="M63" i="34" s="1"/>
  <c r="C52" i="34"/>
  <c r="C54" i="34" s="1"/>
  <c r="G52" i="34"/>
  <c r="G54" i="34" s="1"/>
  <c r="G60" i="34" s="1"/>
  <c r="G63" i="34" s="1"/>
  <c r="W19" i="34"/>
  <c r="U19" i="34"/>
  <c r="S19" i="34"/>
  <c r="Q19" i="34"/>
  <c r="O19" i="34"/>
  <c r="M19" i="34"/>
  <c r="K19" i="34"/>
  <c r="I19" i="34"/>
  <c r="G19" i="34"/>
  <c r="E19" i="34"/>
  <c r="C19" i="34"/>
  <c r="Y19" i="34"/>
  <c r="O30" i="31"/>
  <c r="Y8" i="33"/>
  <c r="M43" i="33"/>
  <c r="M65" i="33"/>
  <c r="K43" i="33"/>
  <c r="K65" i="33"/>
  <c r="I43" i="33"/>
  <c r="I52" i="33" s="1"/>
  <c r="I54" i="33" s="1"/>
  <c r="I60" i="33" s="1"/>
  <c r="I63" i="33" s="1"/>
  <c r="I65" i="33"/>
  <c r="G43" i="33"/>
  <c r="G65" i="33"/>
  <c r="E43" i="33"/>
  <c r="E52" i="33" s="1"/>
  <c r="E54" i="33" s="1"/>
  <c r="E60" i="33" s="1"/>
  <c r="E63" i="33" s="1"/>
  <c r="E65" i="33"/>
  <c r="C43" i="33"/>
  <c r="C65" i="33"/>
  <c r="O63" i="33"/>
  <c r="Q57" i="33"/>
  <c r="Q52" i="33"/>
  <c r="O52" i="33"/>
  <c r="G52" i="33"/>
  <c r="G54" i="33" s="1"/>
  <c r="G60" i="33" s="1"/>
  <c r="G63" i="33" s="1"/>
  <c r="M52" i="33"/>
  <c r="M54" i="33" s="1"/>
  <c r="M60" i="33" s="1"/>
  <c r="M63" i="33" s="1"/>
  <c r="K52" i="33"/>
  <c r="K54" i="33" s="1"/>
  <c r="K60" i="33" s="1"/>
  <c r="K63" i="33" s="1"/>
  <c r="C52" i="33"/>
  <c r="C54" i="33" s="1"/>
  <c r="Y19" i="33"/>
  <c r="W19" i="33"/>
  <c r="U19" i="33"/>
  <c r="S19" i="33"/>
  <c r="Q19" i="33"/>
  <c r="O19" i="33"/>
  <c r="M19" i="33"/>
  <c r="K19" i="33"/>
  <c r="I19" i="33"/>
  <c r="G19" i="33"/>
  <c r="E19" i="33"/>
  <c r="C19" i="33"/>
  <c r="M43" i="32"/>
  <c r="M52" i="32"/>
  <c r="M54" i="32" s="1"/>
  <c r="M60" i="32" s="1"/>
  <c r="M63" i="32" s="1"/>
  <c r="M65" i="32"/>
  <c r="K43" i="32"/>
  <c r="K52" i="32" s="1"/>
  <c r="K54" i="32" s="1"/>
  <c r="K60" i="32" s="1"/>
  <c r="K63" i="32" s="1"/>
  <c r="K65" i="32"/>
  <c r="I43" i="32"/>
  <c r="I52" i="32"/>
  <c r="I54" i="32"/>
  <c r="I60" i="32" s="1"/>
  <c r="I63" i="32" s="1"/>
  <c r="I65" i="32"/>
  <c r="G43" i="32"/>
  <c r="G65" i="32"/>
  <c r="E43" i="32"/>
  <c r="E52" i="32" s="1"/>
  <c r="E54" i="32" s="1"/>
  <c r="E60" i="32" s="1"/>
  <c r="E63" i="32" s="1"/>
  <c r="E65" i="32"/>
  <c r="C43" i="32"/>
  <c r="C52" i="32" s="1"/>
  <c r="C54" i="32" s="1"/>
  <c r="C65" i="32"/>
  <c r="Q57" i="32"/>
  <c r="O63" i="32"/>
  <c r="Q52" i="32"/>
  <c r="O52" i="32"/>
  <c r="G52" i="32"/>
  <c r="G54" i="32" s="1"/>
  <c r="G60" i="32" s="1"/>
  <c r="G63" i="32" s="1"/>
  <c r="Y19" i="32"/>
  <c r="W19" i="32"/>
  <c r="U19" i="32"/>
  <c r="S19" i="32"/>
  <c r="Q19" i="32"/>
  <c r="O19" i="32"/>
  <c r="M19" i="32"/>
  <c r="K19" i="32"/>
  <c r="I19" i="32"/>
  <c r="G19" i="32"/>
  <c r="E19" i="32"/>
  <c r="C19" i="32"/>
  <c r="O24" i="32" s="1"/>
  <c r="O30" i="30"/>
  <c r="M43" i="31"/>
  <c r="K43" i="31"/>
  <c r="K52" i="31"/>
  <c r="K54" i="31" s="1"/>
  <c r="K60" i="31" s="1"/>
  <c r="K63" i="31" s="1"/>
  <c r="K65" i="31"/>
  <c r="I65" i="31"/>
  <c r="I43" i="31"/>
  <c r="G43" i="31"/>
  <c r="G52" i="31" s="1"/>
  <c r="G54" i="31" s="1"/>
  <c r="G60" i="31" s="1"/>
  <c r="G63" i="31" s="1"/>
  <c r="G65" i="31"/>
  <c r="E43" i="31"/>
  <c r="E52" i="31" s="1"/>
  <c r="E54" i="31" s="1"/>
  <c r="E60" i="31" s="1"/>
  <c r="E63" i="31" s="1"/>
  <c r="E65" i="31"/>
  <c r="C43" i="31"/>
  <c r="C52" i="31" s="1"/>
  <c r="C54" i="31" s="1"/>
  <c r="C60" i="31" s="1"/>
  <c r="C63" i="31" s="1"/>
  <c r="C65" i="31"/>
  <c r="O63" i="31"/>
  <c r="Q57" i="31"/>
  <c r="Q52" i="31"/>
  <c r="O52" i="31"/>
  <c r="M52" i="31"/>
  <c r="M54" i="31" s="1"/>
  <c r="M60" i="31" s="1"/>
  <c r="M63" i="31" s="1"/>
  <c r="I52" i="31"/>
  <c r="I54" i="31" s="1"/>
  <c r="I60" i="31" s="1"/>
  <c r="I63" i="31" s="1"/>
  <c r="W19" i="31"/>
  <c r="U19" i="31"/>
  <c r="S19" i="31"/>
  <c r="Q19" i="31"/>
  <c r="O19" i="31"/>
  <c r="M19" i="31"/>
  <c r="K19" i="31"/>
  <c r="I19" i="31"/>
  <c r="G19" i="31"/>
  <c r="E19" i="31"/>
  <c r="C19" i="31"/>
  <c r="O24" i="31" s="1"/>
  <c r="Y19" i="31"/>
  <c r="Y8" i="30"/>
  <c r="Y19" i="30"/>
  <c r="M43" i="30"/>
  <c r="M52" i="30" s="1"/>
  <c r="M54" i="30" s="1"/>
  <c r="M60" i="30" s="1"/>
  <c r="M63" i="30" s="1"/>
  <c r="M65" i="30"/>
  <c r="K43" i="30"/>
  <c r="K52" i="30" s="1"/>
  <c r="K54" i="30" s="1"/>
  <c r="K60" i="30" s="1"/>
  <c r="K63" i="30" s="1"/>
  <c r="K65" i="30"/>
  <c r="I43" i="30"/>
  <c r="I52" i="30" s="1"/>
  <c r="I54" i="30" s="1"/>
  <c r="I60" i="30" s="1"/>
  <c r="I63" i="30" s="1"/>
  <c r="I65" i="30"/>
  <c r="G43" i="30"/>
  <c r="E43" i="30"/>
  <c r="E52" i="30" s="1"/>
  <c r="E54" i="30" s="1"/>
  <c r="E60" i="30" s="1"/>
  <c r="E63" i="30" s="1"/>
  <c r="E65" i="30"/>
  <c r="C43" i="30"/>
  <c r="C52" i="30" s="1"/>
  <c r="C54" i="30" s="1"/>
  <c r="C65" i="30"/>
  <c r="O63" i="30"/>
  <c r="Q57" i="30"/>
  <c r="Q52" i="30"/>
  <c r="O52" i="30"/>
  <c r="G52" i="30"/>
  <c r="G54" i="30"/>
  <c r="G60" i="30" s="1"/>
  <c r="G63" i="30" s="1"/>
  <c r="W19" i="30"/>
  <c r="U19" i="30"/>
  <c r="S19" i="30"/>
  <c r="Q19" i="30"/>
  <c r="O19" i="30"/>
  <c r="M19" i="30"/>
  <c r="K19" i="30"/>
  <c r="I19" i="30"/>
  <c r="G19" i="30"/>
  <c r="E19" i="30"/>
  <c r="C19" i="30"/>
  <c r="O24" i="30" s="1"/>
  <c r="O33" i="29"/>
  <c r="E8" i="29"/>
  <c r="M43" i="29"/>
  <c r="M52" i="29" s="1"/>
  <c r="M54" i="29" s="1"/>
  <c r="M60" i="29" s="1"/>
  <c r="M63" i="29" s="1"/>
  <c r="M65" i="29"/>
  <c r="K43" i="29"/>
  <c r="K65" i="29"/>
  <c r="I43" i="29"/>
  <c r="I52" i="29" s="1"/>
  <c r="I54" i="29" s="1"/>
  <c r="I60" i="29" s="1"/>
  <c r="I63" i="29" s="1"/>
  <c r="I65" i="29"/>
  <c r="G43" i="29"/>
  <c r="G52" i="29" s="1"/>
  <c r="G54" i="29" s="1"/>
  <c r="G60" i="29" s="1"/>
  <c r="G63" i="29" s="1"/>
  <c r="G65" i="29"/>
  <c r="E43" i="29"/>
  <c r="E52" i="29" s="1"/>
  <c r="E54" i="29" s="1"/>
  <c r="E65" i="29"/>
  <c r="C43" i="29"/>
  <c r="Y8" i="29"/>
  <c r="C65" i="29"/>
  <c r="O63" i="29"/>
  <c r="Q57" i="29"/>
  <c r="Q52" i="29"/>
  <c r="O52" i="29"/>
  <c r="K52" i="29"/>
  <c r="K54" i="29" s="1"/>
  <c r="K60" i="29" s="1"/>
  <c r="K63" i="29" s="1"/>
  <c r="C52" i="29"/>
  <c r="C54" i="29"/>
  <c r="Y19" i="29"/>
  <c r="W19" i="29"/>
  <c r="U19" i="29"/>
  <c r="S19" i="29"/>
  <c r="Q19" i="29"/>
  <c r="O19" i="29"/>
  <c r="M19" i="29"/>
  <c r="K19" i="29"/>
  <c r="I19" i="29"/>
  <c r="C19" i="29"/>
  <c r="G19" i="29"/>
  <c r="E19" i="29"/>
  <c r="M43" i="28"/>
  <c r="M52" i="28" s="1"/>
  <c r="M54" i="28" s="1"/>
  <c r="M60" i="28" s="1"/>
  <c r="M63" i="28" s="1"/>
  <c r="M65" i="28"/>
  <c r="K43" i="28"/>
  <c r="K52" i="28"/>
  <c r="K54" i="28" s="1"/>
  <c r="K60" i="28" s="1"/>
  <c r="K63" i="28" s="1"/>
  <c r="K65" i="28"/>
  <c r="I43" i="28"/>
  <c r="I65" i="28"/>
  <c r="G43" i="28"/>
  <c r="G65" i="28"/>
  <c r="E43" i="28"/>
  <c r="E65" i="28"/>
  <c r="C43" i="28"/>
  <c r="C52" i="28" s="1"/>
  <c r="C54" i="28" s="1"/>
  <c r="C65" i="28"/>
  <c r="G15" i="28"/>
  <c r="E15" i="28"/>
  <c r="C15" i="28"/>
  <c r="O63" i="28"/>
  <c r="Q57" i="28"/>
  <c r="Q52" i="28"/>
  <c r="O52" i="28"/>
  <c r="I52" i="28"/>
  <c r="I54" i="28" s="1"/>
  <c r="I60" i="28" s="1"/>
  <c r="I63" i="28" s="1"/>
  <c r="G52" i="28"/>
  <c r="G54" i="28" s="1"/>
  <c r="G60" i="28" s="1"/>
  <c r="G63" i="28" s="1"/>
  <c r="E52" i="28"/>
  <c r="E54" i="28" s="1"/>
  <c r="E60" i="28" s="1"/>
  <c r="E63" i="28" s="1"/>
  <c r="Y19" i="28"/>
  <c r="W19" i="28"/>
  <c r="U19" i="28"/>
  <c r="S19" i="28"/>
  <c r="Q19" i="28"/>
  <c r="O19" i="28"/>
  <c r="M19" i="28"/>
  <c r="K19" i="28"/>
  <c r="I19" i="28"/>
  <c r="G19" i="28"/>
  <c r="O24" i="28" s="1"/>
  <c r="E19" i="28"/>
  <c r="C19" i="28"/>
  <c r="M43" i="27"/>
  <c r="M65" i="27"/>
  <c r="K43" i="27"/>
  <c r="K65" i="27"/>
  <c r="I43" i="27"/>
  <c r="G43" i="27"/>
  <c r="G52" i="27" s="1"/>
  <c r="G54" i="27" s="1"/>
  <c r="G60" i="27" s="1"/>
  <c r="G63" i="27" s="1"/>
  <c r="G65" i="27"/>
  <c r="E43" i="27"/>
  <c r="E65" i="27"/>
  <c r="C43" i="27"/>
  <c r="C52" i="27" s="1"/>
  <c r="C54" i="27" s="1"/>
  <c r="C65" i="27"/>
  <c r="O33" i="27"/>
  <c r="O24" i="37"/>
  <c r="Q54" i="37"/>
  <c r="Q60" i="37" s="1"/>
  <c r="C68" i="37" s="1"/>
  <c r="O24" i="36"/>
  <c r="O24" i="33"/>
  <c r="C60" i="29"/>
  <c r="C63" i="29"/>
  <c r="O63" i="27"/>
  <c r="Q57" i="27"/>
  <c r="Q52" i="27"/>
  <c r="O52" i="27"/>
  <c r="M52" i="27"/>
  <c r="M54" i="27" s="1"/>
  <c r="M60" i="27" s="1"/>
  <c r="M63" i="27" s="1"/>
  <c r="K52" i="27"/>
  <c r="K54" i="27"/>
  <c r="K60" i="27" s="1"/>
  <c r="K63" i="27" s="1"/>
  <c r="E52" i="27"/>
  <c r="E54" i="27" s="1"/>
  <c r="E60" i="27" s="1"/>
  <c r="E63" i="27" s="1"/>
  <c r="I52" i="27"/>
  <c r="I54" i="27" s="1"/>
  <c r="I60" i="27" s="1"/>
  <c r="I63" i="27" s="1"/>
  <c r="Y19" i="27"/>
  <c r="W19" i="27"/>
  <c r="U19" i="27"/>
  <c r="S19" i="27"/>
  <c r="Q19" i="27"/>
  <c r="O19" i="27"/>
  <c r="M19" i="27"/>
  <c r="K19" i="27"/>
  <c r="I19" i="27"/>
  <c r="G19" i="27"/>
  <c r="E19" i="27"/>
  <c r="C19" i="27"/>
  <c r="O24" i="27" s="1"/>
  <c r="M43" i="26"/>
  <c r="K43" i="26"/>
  <c r="I43" i="26"/>
  <c r="G43" i="26"/>
  <c r="G65" i="26"/>
  <c r="E43" i="26"/>
  <c r="E65" i="26"/>
  <c r="C43" i="26"/>
  <c r="C52" i="26" s="1"/>
  <c r="C54" i="26" s="1"/>
  <c r="C65" i="26"/>
  <c r="O63" i="26"/>
  <c r="Q57" i="26"/>
  <c r="Q52" i="26"/>
  <c r="O52" i="26"/>
  <c r="K52" i="26"/>
  <c r="K54" i="26"/>
  <c r="K60" i="26"/>
  <c r="K63" i="26" s="1"/>
  <c r="I52" i="26"/>
  <c r="I54" i="26"/>
  <c r="I60" i="26" s="1"/>
  <c r="I63" i="26" s="1"/>
  <c r="M52" i="26"/>
  <c r="M54" i="26" s="1"/>
  <c r="M60" i="26" s="1"/>
  <c r="M63" i="26" s="1"/>
  <c r="G52" i="26"/>
  <c r="G54" i="26" s="1"/>
  <c r="G60" i="26" s="1"/>
  <c r="G63" i="26" s="1"/>
  <c r="E52" i="26"/>
  <c r="E54" i="26" s="1"/>
  <c r="E60" i="26" s="1"/>
  <c r="E63" i="26" s="1"/>
  <c r="Y19" i="26"/>
  <c r="W19" i="26"/>
  <c r="U19" i="26"/>
  <c r="S19" i="26"/>
  <c r="Q19" i="26"/>
  <c r="O19" i="26"/>
  <c r="M19" i="26"/>
  <c r="K19" i="26"/>
  <c r="I19" i="26"/>
  <c r="G19" i="26"/>
  <c r="E19" i="26"/>
  <c r="C19" i="26"/>
  <c r="O24" i="26" s="1"/>
  <c r="C60" i="26"/>
  <c r="C63" i="26" s="1"/>
  <c r="M43" i="25"/>
  <c r="M65" i="25"/>
  <c r="K43" i="25"/>
  <c r="K52" i="25" s="1"/>
  <c r="K54" i="25" s="1"/>
  <c r="K60" i="25" s="1"/>
  <c r="K63" i="25" s="1"/>
  <c r="I43" i="25"/>
  <c r="I52" i="25"/>
  <c r="I54" i="25" s="1"/>
  <c r="I60" i="25" s="1"/>
  <c r="I63" i="25" s="1"/>
  <c r="I65" i="25"/>
  <c r="G43" i="25"/>
  <c r="G65" i="25"/>
  <c r="E43" i="25"/>
  <c r="E52" i="25"/>
  <c r="E54" i="25" s="1"/>
  <c r="E65" i="25"/>
  <c r="C65" i="25"/>
  <c r="O63" i="25"/>
  <c r="Q57" i="25"/>
  <c r="Q52" i="25"/>
  <c r="O52" i="25"/>
  <c r="M52" i="25"/>
  <c r="M54" i="25"/>
  <c r="M60" i="25" s="1"/>
  <c r="M63" i="25" s="1"/>
  <c r="G52" i="25"/>
  <c r="G54" i="25" s="1"/>
  <c r="G60" i="25" s="1"/>
  <c r="G63" i="25" s="1"/>
  <c r="C52" i="25"/>
  <c r="C54" i="25" s="1"/>
  <c r="C60" i="25" s="1"/>
  <c r="C63" i="25" s="1"/>
  <c r="W19" i="25"/>
  <c r="S19" i="25"/>
  <c r="Q19" i="25"/>
  <c r="O19" i="25"/>
  <c r="M19" i="25"/>
  <c r="K19" i="25"/>
  <c r="I19" i="25"/>
  <c r="G19" i="25"/>
  <c r="E19" i="25"/>
  <c r="O24" i="25" s="1"/>
  <c r="C19" i="25"/>
  <c r="Y19" i="25"/>
  <c r="U19" i="25"/>
  <c r="Y9" i="24"/>
  <c r="Y19" i="24"/>
  <c r="U8" i="24"/>
  <c r="O30" i="24"/>
  <c r="M43" i="24"/>
  <c r="M52" i="24" s="1"/>
  <c r="M54" i="24" s="1"/>
  <c r="M60" i="24" s="1"/>
  <c r="M63" i="24" s="1"/>
  <c r="M65" i="24"/>
  <c r="K43" i="24"/>
  <c r="K52" i="24" s="1"/>
  <c r="K54" i="24" s="1"/>
  <c r="K60" i="24" s="1"/>
  <c r="K63" i="24" s="1"/>
  <c r="K65" i="24"/>
  <c r="G43" i="24"/>
  <c r="G52" i="24" s="1"/>
  <c r="G54" i="24" s="1"/>
  <c r="G60" i="24" s="1"/>
  <c r="G63" i="24" s="1"/>
  <c r="G65" i="24"/>
  <c r="E43" i="24"/>
  <c r="E65" i="24"/>
  <c r="C43" i="24"/>
  <c r="C65" i="24"/>
  <c r="O63" i="24"/>
  <c r="Q57" i="24"/>
  <c r="Q52" i="24"/>
  <c r="O52" i="24"/>
  <c r="I52" i="24"/>
  <c r="I54" i="24"/>
  <c r="I60" i="24" s="1"/>
  <c r="I63" i="24" s="1"/>
  <c r="C52" i="24"/>
  <c r="C54" i="24" s="1"/>
  <c r="E52" i="24"/>
  <c r="E54" i="24" s="1"/>
  <c r="E60" i="24" s="1"/>
  <c r="E63" i="24" s="1"/>
  <c r="W19" i="24"/>
  <c r="S19" i="24"/>
  <c r="Q19" i="24"/>
  <c r="O19" i="24"/>
  <c r="M19" i="24"/>
  <c r="O23" i="24" s="1"/>
  <c r="K19" i="24"/>
  <c r="I19" i="24"/>
  <c r="G19" i="24"/>
  <c r="E19" i="24"/>
  <c r="C19" i="24"/>
  <c r="U19" i="24"/>
  <c r="O33" i="23"/>
  <c r="Y14" i="23"/>
  <c r="Y19" i="23" s="1"/>
  <c r="U13" i="23"/>
  <c r="M43" i="23"/>
  <c r="M52" i="23" s="1"/>
  <c r="M54" i="23" s="1"/>
  <c r="M60" i="23" s="1"/>
  <c r="M63" i="23" s="1"/>
  <c r="M65" i="23"/>
  <c r="K43" i="23"/>
  <c r="K65" i="23"/>
  <c r="I43" i="23"/>
  <c r="I52" i="23" s="1"/>
  <c r="I54" i="23" s="1"/>
  <c r="I60" i="23" s="1"/>
  <c r="I63" i="23" s="1"/>
  <c r="G43" i="23"/>
  <c r="G52" i="23" s="1"/>
  <c r="G54" i="23" s="1"/>
  <c r="G60" i="23" s="1"/>
  <c r="G63" i="23" s="1"/>
  <c r="G65" i="23"/>
  <c r="E43" i="23"/>
  <c r="E52" i="23" s="1"/>
  <c r="E54" i="23" s="1"/>
  <c r="E60" i="23" s="1"/>
  <c r="E63" i="23" s="1"/>
  <c r="E65" i="23"/>
  <c r="C43" i="23"/>
  <c r="C52" i="23" s="1"/>
  <c r="C54" i="23" s="1"/>
  <c r="C65" i="23"/>
  <c r="S11" i="22"/>
  <c r="S19" i="22"/>
  <c r="U11" i="22"/>
  <c r="U10" i="22"/>
  <c r="U19" i="22" s="1"/>
  <c r="O63" i="23"/>
  <c r="Q57" i="23"/>
  <c r="Q52" i="23"/>
  <c r="O52" i="23"/>
  <c r="K52" i="23"/>
  <c r="K54" i="23"/>
  <c r="K60" i="23" s="1"/>
  <c r="K63" i="23" s="1"/>
  <c r="W19" i="23"/>
  <c r="U19" i="23"/>
  <c r="S19" i="23"/>
  <c r="Q19" i="23"/>
  <c r="O19" i="23"/>
  <c r="M19" i="23"/>
  <c r="K19" i="23"/>
  <c r="I19" i="23"/>
  <c r="G19" i="23"/>
  <c r="E19" i="23"/>
  <c r="C19" i="23"/>
  <c r="C9" i="22"/>
  <c r="M43" i="22"/>
  <c r="M65" i="22"/>
  <c r="K43" i="22"/>
  <c r="K52" i="22" s="1"/>
  <c r="K54" i="22" s="1"/>
  <c r="K60" i="22" s="1"/>
  <c r="K63" i="22" s="1"/>
  <c r="K65" i="22"/>
  <c r="I43" i="22"/>
  <c r="I65" i="22"/>
  <c r="G43" i="22"/>
  <c r="G52" i="22" s="1"/>
  <c r="G54" i="22" s="1"/>
  <c r="G60" i="22" s="1"/>
  <c r="G63" i="22" s="1"/>
  <c r="G65" i="22"/>
  <c r="E43" i="22"/>
  <c r="E65" i="22"/>
  <c r="C43" i="22"/>
  <c r="C52" i="22" s="1"/>
  <c r="C54" i="22" s="1"/>
  <c r="C65" i="22"/>
  <c r="O63" i="22"/>
  <c r="Q57" i="22"/>
  <c r="Q52" i="22"/>
  <c r="O52" i="22"/>
  <c r="M52" i="22"/>
  <c r="M54" i="22"/>
  <c r="M60" i="22" s="1"/>
  <c r="M63" i="22" s="1"/>
  <c r="E52" i="22"/>
  <c r="E54" i="22" s="1"/>
  <c r="E60" i="22" s="1"/>
  <c r="E63" i="22" s="1"/>
  <c r="I52" i="22"/>
  <c r="I54" i="22" s="1"/>
  <c r="I60" i="22" s="1"/>
  <c r="I63" i="22" s="1"/>
  <c r="W19" i="22"/>
  <c r="Q19" i="22"/>
  <c r="O19" i="22"/>
  <c r="M19" i="22"/>
  <c r="K19" i="22"/>
  <c r="I19" i="22"/>
  <c r="G19" i="22"/>
  <c r="E19" i="22"/>
  <c r="C19" i="22"/>
  <c r="Y19" i="22"/>
  <c r="M43" i="21"/>
  <c r="M52" i="21" s="1"/>
  <c r="M54" i="21" s="1"/>
  <c r="M60" i="21" s="1"/>
  <c r="M63" i="21" s="1"/>
  <c r="K43" i="21"/>
  <c r="K52" i="21" s="1"/>
  <c r="K54" i="21" s="1"/>
  <c r="K60" i="21" s="1"/>
  <c r="K63" i="21" s="1"/>
  <c r="I43" i="21"/>
  <c r="I52" i="21" s="1"/>
  <c r="I54" i="21" s="1"/>
  <c r="I60" i="21" s="1"/>
  <c r="I63" i="21" s="1"/>
  <c r="G43" i="21"/>
  <c r="E43" i="21"/>
  <c r="C43" i="21"/>
  <c r="C52" i="21" s="1"/>
  <c r="C54" i="21" s="1"/>
  <c r="C60" i="21" s="1"/>
  <c r="C63" i="21" s="1"/>
  <c r="M65" i="21"/>
  <c r="K65" i="21"/>
  <c r="I65" i="21"/>
  <c r="G65" i="21"/>
  <c r="E65" i="21"/>
  <c r="C65" i="21"/>
  <c r="Y16" i="21"/>
  <c r="O33" i="21"/>
  <c r="O63" i="21"/>
  <c r="Q57" i="21"/>
  <c r="Q52" i="21"/>
  <c r="O52" i="21"/>
  <c r="G52" i="21"/>
  <c r="G54" i="21" s="1"/>
  <c r="G60" i="21" s="1"/>
  <c r="G63" i="21" s="1"/>
  <c r="E52" i="21"/>
  <c r="E54" i="21" s="1"/>
  <c r="Y19" i="21"/>
  <c r="W19" i="21"/>
  <c r="U19" i="21"/>
  <c r="S19" i="21"/>
  <c r="Q19" i="21"/>
  <c r="O19" i="21"/>
  <c r="M19" i="21"/>
  <c r="K19" i="21"/>
  <c r="I19" i="21"/>
  <c r="G19" i="21"/>
  <c r="E19" i="21"/>
  <c r="O24" i="21" s="1"/>
  <c r="C19" i="21"/>
  <c r="M43" i="20"/>
  <c r="M65" i="20"/>
  <c r="K43" i="20"/>
  <c r="K65" i="20"/>
  <c r="G43" i="20"/>
  <c r="G52" i="20" s="1"/>
  <c r="G54" i="20" s="1"/>
  <c r="G65" i="20"/>
  <c r="I43" i="20"/>
  <c r="E43" i="20"/>
  <c r="E65" i="20"/>
  <c r="C43" i="20"/>
  <c r="C52" i="20" s="1"/>
  <c r="C54" i="20" s="1"/>
  <c r="C60" i="20" s="1"/>
  <c r="C63" i="20" s="1"/>
  <c r="C65" i="20"/>
  <c r="O33" i="20"/>
  <c r="O63" i="20"/>
  <c r="Q57" i="20"/>
  <c r="Q52" i="20"/>
  <c r="O52" i="20"/>
  <c r="M52" i="20"/>
  <c r="M54" i="20" s="1"/>
  <c r="M60" i="20" s="1"/>
  <c r="M63" i="20" s="1"/>
  <c r="K52" i="20"/>
  <c r="K54" i="20" s="1"/>
  <c r="K60" i="20" s="1"/>
  <c r="K63" i="20" s="1"/>
  <c r="I52" i="20"/>
  <c r="I54" i="20" s="1"/>
  <c r="I60" i="20" s="1"/>
  <c r="I63" i="20" s="1"/>
  <c r="E52" i="20"/>
  <c r="E54" i="20"/>
  <c r="E60" i="20"/>
  <c r="E63" i="20"/>
  <c r="W19" i="20"/>
  <c r="U19" i="20"/>
  <c r="S19" i="20"/>
  <c r="Q19" i="20"/>
  <c r="O19" i="20"/>
  <c r="M19" i="20"/>
  <c r="K19" i="20"/>
  <c r="O23" i="20" s="1"/>
  <c r="O25" i="20" s="1"/>
  <c r="O28" i="20" s="1"/>
  <c r="O35" i="20" s="1"/>
  <c r="I19" i="20"/>
  <c r="G19" i="20"/>
  <c r="E19" i="20"/>
  <c r="C19" i="20"/>
  <c r="O24" i="20" s="1"/>
  <c r="Y19" i="20"/>
  <c r="O24" i="24"/>
  <c r="O24" i="23"/>
  <c r="O24" i="22"/>
  <c r="Y8" i="19"/>
  <c r="G43" i="19"/>
  <c r="G52" i="19"/>
  <c r="G54" i="19" s="1"/>
  <c r="G60" i="19" s="1"/>
  <c r="G63" i="19" s="1"/>
  <c r="I43" i="19"/>
  <c r="I52" i="19"/>
  <c r="I54" i="19" s="1"/>
  <c r="I60" i="19" s="1"/>
  <c r="I63" i="19" s="1"/>
  <c r="I65" i="19"/>
  <c r="E43" i="19"/>
  <c r="E52" i="19" s="1"/>
  <c r="E54" i="19" s="1"/>
  <c r="E60" i="19" s="1"/>
  <c r="E63" i="19" s="1"/>
  <c r="E65" i="19"/>
  <c r="C43" i="19"/>
  <c r="C52" i="19" s="1"/>
  <c r="C54" i="19" s="1"/>
  <c r="O63" i="19"/>
  <c r="Q57" i="19"/>
  <c r="Q52" i="19"/>
  <c r="O52" i="19"/>
  <c r="M52" i="19"/>
  <c r="M54" i="19"/>
  <c r="M60" i="19" s="1"/>
  <c r="M63" i="19" s="1"/>
  <c r="K52" i="19"/>
  <c r="K54" i="19"/>
  <c r="K60" i="19" s="1"/>
  <c r="K63" i="19" s="1"/>
  <c r="Y19" i="19"/>
  <c r="W19" i="19"/>
  <c r="U19" i="19"/>
  <c r="S19" i="19"/>
  <c r="Q19" i="19"/>
  <c r="O19" i="19"/>
  <c r="O23" i="19" s="1"/>
  <c r="M19" i="19"/>
  <c r="K19" i="19"/>
  <c r="I19" i="19"/>
  <c r="G19" i="19"/>
  <c r="E19" i="19"/>
  <c r="C19" i="19"/>
  <c r="M43" i="18"/>
  <c r="K43" i="18"/>
  <c r="K52" i="18" s="1"/>
  <c r="K54" i="18" s="1"/>
  <c r="K60" i="18" s="1"/>
  <c r="K63" i="18" s="1"/>
  <c r="I43" i="18"/>
  <c r="I52" i="18" s="1"/>
  <c r="I54" i="18" s="1"/>
  <c r="I65" i="18"/>
  <c r="G43" i="18"/>
  <c r="G65" i="18"/>
  <c r="E43" i="18"/>
  <c r="E52" i="18" s="1"/>
  <c r="E54" i="18" s="1"/>
  <c r="E60" i="18" s="1"/>
  <c r="E63" i="18" s="1"/>
  <c r="E65" i="18"/>
  <c r="C43" i="18"/>
  <c r="C65" i="18"/>
  <c r="C8" i="18"/>
  <c r="C19" i="18" s="1"/>
  <c r="O63" i="18"/>
  <c r="Q57" i="18"/>
  <c r="Q52" i="18"/>
  <c r="O52" i="18"/>
  <c r="M52" i="18"/>
  <c r="M54" i="18" s="1"/>
  <c r="M60" i="18" s="1"/>
  <c r="M63" i="18" s="1"/>
  <c r="G52" i="18"/>
  <c r="G54" i="18"/>
  <c r="G60" i="18" s="1"/>
  <c r="G63" i="18" s="1"/>
  <c r="C52" i="18"/>
  <c r="C54" i="18" s="1"/>
  <c r="C60" i="18" s="1"/>
  <c r="C63" i="18" s="1"/>
  <c r="W19" i="18"/>
  <c r="U19" i="18"/>
  <c r="S19" i="18"/>
  <c r="Q19" i="18"/>
  <c r="O19" i="18"/>
  <c r="M19" i="18"/>
  <c r="K19" i="18"/>
  <c r="I19" i="18"/>
  <c r="G19" i="18"/>
  <c r="E19" i="18"/>
  <c r="Y19" i="18"/>
  <c r="Y8" i="16"/>
  <c r="Y19" i="16" s="1"/>
  <c r="M43" i="16"/>
  <c r="M52" i="16" s="1"/>
  <c r="M54" i="16" s="1"/>
  <c r="M60" i="16" s="1"/>
  <c r="M63" i="16" s="1"/>
  <c r="K43" i="16"/>
  <c r="K52" i="16" s="1"/>
  <c r="K54" i="16" s="1"/>
  <c r="K60" i="16" s="1"/>
  <c r="K63" i="16" s="1"/>
  <c r="I43" i="16"/>
  <c r="I52" i="16" s="1"/>
  <c r="I54" i="16" s="1"/>
  <c r="I60" i="16" s="1"/>
  <c r="I63" i="16" s="1"/>
  <c r="G43" i="16"/>
  <c r="G52" i="16" s="1"/>
  <c r="G54" i="16" s="1"/>
  <c r="G60" i="16" s="1"/>
  <c r="G63" i="16" s="1"/>
  <c r="C43" i="16"/>
  <c r="C52" i="16" s="1"/>
  <c r="C54" i="16" s="1"/>
  <c r="C65" i="16"/>
  <c r="E43" i="16"/>
  <c r="U8" i="14"/>
  <c r="O63" i="16"/>
  <c r="Q57" i="16"/>
  <c r="Q52" i="16"/>
  <c r="O52" i="16"/>
  <c r="E52" i="16"/>
  <c r="E54" i="16" s="1"/>
  <c r="E60" i="16" s="1"/>
  <c r="E63" i="16" s="1"/>
  <c r="W19" i="16"/>
  <c r="U19" i="16"/>
  <c r="S19" i="16"/>
  <c r="Q19" i="16"/>
  <c r="O19" i="16"/>
  <c r="M19" i="16"/>
  <c r="K19" i="16"/>
  <c r="I19" i="16"/>
  <c r="G19" i="16"/>
  <c r="E19" i="16"/>
  <c r="C19" i="16"/>
  <c r="O24" i="16" s="1"/>
  <c r="M43" i="15"/>
  <c r="K43" i="15"/>
  <c r="K52" i="15" s="1"/>
  <c r="K54" i="15" s="1"/>
  <c r="K60" i="15" s="1"/>
  <c r="K63" i="15" s="1"/>
  <c r="I43" i="15"/>
  <c r="I52" i="15" s="1"/>
  <c r="I54" i="15" s="1"/>
  <c r="I60" i="15" s="1"/>
  <c r="I63" i="15" s="1"/>
  <c r="G43" i="15"/>
  <c r="G52" i="15" s="1"/>
  <c r="G54" i="15" s="1"/>
  <c r="G60" i="15" s="1"/>
  <c r="G63" i="15" s="1"/>
  <c r="G65" i="15"/>
  <c r="E43" i="15"/>
  <c r="E65" i="15"/>
  <c r="C65" i="15"/>
  <c r="C43" i="15"/>
  <c r="C52" i="15" s="1"/>
  <c r="C54" i="15" s="1"/>
  <c r="O30" i="15"/>
  <c r="O63" i="15"/>
  <c r="Q57" i="15"/>
  <c r="Q52" i="15"/>
  <c r="O52" i="15"/>
  <c r="M52" i="15"/>
  <c r="M54" i="15" s="1"/>
  <c r="M60" i="15" s="1"/>
  <c r="M63" i="15" s="1"/>
  <c r="E52" i="15"/>
  <c r="E54" i="15" s="1"/>
  <c r="E60" i="15" s="1"/>
  <c r="E63" i="15" s="1"/>
  <c r="Y19" i="15"/>
  <c r="W19" i="15"/>
  <c r="U19" i="15"/>
  <c r="S19" i="15"/>
  <c r="Q19" i="15"/>
  <c r="O19" i="15"/>
  <c r="M19" i="15"/>
  <c r="K19" i="15"/>
  <c r="I19" i="15"/>
  <c r="G19" i="15"/>
  <c r="E19" i="15"/>
  <c r="C19" i="15"/>
  <c r="O24" i="15" s="1"/>
  <c r="K43" i="14"/>
  <c r="K52" i="14" s="1"/>
  <c r="K54" i="14" s="1"/>
  <c r="K60" i="14" s="1"/>
  <c r="K63" i="14" s="1"/>
  <c r="M43" i="14"/>
  <c r="I43" i="14"/>
  <c r="I65" i="14"/>
  <c r="C43" i="14"/>
  <c r="C52" i="14" s="1"/>
  <c r="C54" i="14" s="1"/>
  <c r="C65" i="14"/>
  <c r="G43" i="14"/>
  <c r="G52" i="14" s="1"/>
  <c r="G54" i="14" s="1"/>
  <c r="G60" i="14" s="1"/>
  <c r="G63" i="14" s="1"/>
  <c r="G65" i="14"/>
  <c r="E43" i="14"/>
  <c r="E65" i="14"/>
  <c r="O63" i="14"/>
  <c r="Q57" i="14"/>
  <c r="Q52" i="14"/>
  <c r="O52" i="14"/>
  <c r="M52" i="14"/>
  <c r="M54" i="14" s="1"/>
  <c r="M60" i="14" s="1"/>
  <c r="M63" i="14" s="1"/>
  <c r="E52" i="14"/>
  <c r="E54" i="14" s="1"/>
  <c r="E60" i="14" s="1"/>
  <c r="E63" i="14" s="1"/>
  <c r="I52" i="14"/>
  <c r="I54" i="14" s="1"/>
  <c r="I60" i="14" s="1"/>
  <c r="I63" i="14" s="1"/>
  <c r="Y19" i="14"/>
  <c r="W19" i="14"/>
  <c r="U19" i="14"/>
  <c r="S19" i="14"/>
  <c r="Q19" i="14"/>
  <c r="O19" i="14"/>
  <c r="M19" i="14"/>
  <c r="K19" i="14"/>
  <c r="I19" i="14"/>
  <c r="G19" i="14"/>
  <c r="E19" i="14"/>
  <c r="C19" i="14"/>
  <c r="K43" i="13"/>
  <c r="K52" i="13" s="1"/>
  <c r="K54" i="13" s="1"/>
  <c r="K60" i="13" s="1"/>
  <c r="K63" i="13" s="1"/>
  <c r="I43" i="13"/>
  <c r="I52" i="13" s="1"/>
  <c r="I54" i="13" s="1"/>
  <c r="I60" i="13" s="1"/>
  <c r="I63" i="13" s="1"/>
  <c r="I65" i="13"/>
  <c r="C43" i="13"/>
  <c r="C65" i="13"/>
  <c r="G43" i="13"/>
  <c r="G52" i="13" s="1"/>
  <c r="G54" i="13" s="1"/>
  <c r="G60" i="13" s="1"/>
  <c r="G63" i="13" s="1"/>
  <c r="G65" i="13"/>
  <c r="E43" i="13"/>
  <c r="E65" i="13"/>
  <c r="M43" i="13"/>
  <c r="M52" i="13" s="1"/>
  <c r="M54" i="13" s="1"/>
  <c r="M60" i="13" s="1"/>
  <c r="M63" i="13" s="1"/>
  <c r="O33" i="13"/>
  <c r="O63" i="13"/>
  <c r="Q57" i="13"/>
  <c r="Q52" i="13"/>
  <c r="O52" i="13"/>
  <c r="E52" i="13"/>
  <c r="E54" i="13"/>
  <c r="E60" i="13" s="1"/>
  <c r="E63" i="13" s="1"/>
  <c r="C52" i="13"/>
  <c r="C54" i="13" s="1"/>
  <c r="Y19" i="13"/>
  <c r="W19" i="13"/>
  <c r="U19" i="13"/>
  <c r="S19" i="13"/>
  <c r="Q19" i="13"/>
  <c r="O19" i="13"/>
  <c r="M19" i="13"/>
  <c r="O23" i="13" s="1"/>
  <c r="K19" i="13"/>
  <c r="I19" i="13"/>
  <c r="G19" i="13"/>
  <c r="E19" i="13"/>
  <c r="C19" i="13"/>
  <c r="Y8" i="11"/>
  <c r="Y19" i="11" s="1"/>
  <c r="U8" i="11"/>
  <c r="M43" i="12"/>
  <c r="M52" i="12" s="1"/>
  <c r="M54" i="12" s="1"/>
  <c r="M60" i="12" s="1"/>
  <c r="M63" i="12" s="1"/>
  <c r="K43" i="12"/>
  <c r="I43" i="12"/>
  <c r="I65" i="12"/>
  <c r="G43" i="12"/>
  <c r="G52" i="12" s="1"/>
  <c r="G54" i="12" s="1"/>
  <c r="G60" i="12" s="1"/>
  <c r="G63" i="12" s="1"/>
  <c r="E43" i="12"/>
  <c r="E52" i="12" s="1"/>
  <c r="E54" i="12" s="1"/>
  <c r="E60" i="12" s="1"/>
  <c r="E63" i="12" s="1"/>
  <c r="E65" i="12"/>
  <c r="C65" i="12"/>
  <c r="C43" i="12"/>
  <c r="C52" i="12" s="1"/>
  <c r="C54" i="12" s="1"/>
  <c r="O33" i="12"/>
  <c r="O63" i="12"/>
  <c r="Q57" i="12"/>
  <c r="Q52" i="12"/>
  <c r="O52" i="12"/>
  <c r="I52" i="12"/>
  <c r="I54" i="12" s="1"/>
  <c r="I60" i="12" s="1"/>
  <c r="I63" i="12" s="1"/>
  <c r="K52" i="12"/>
  <c r="K54" i="12" s="1"/>
  <c r="K60" i="12" s="1"/>
  <c r="K63" i="12" s="1"/>
  <c r="Y19" i="12"/>
  <c r="W19" i="12"/>
  <c r="U19" i="12"/>
  <c r="S19" i="12"/>
  <c r="Q19" i="12"/>
  <c r="O19" i="12"/>
  <c r="M19" i="12"/>
  <c r="K19" i="12"/>
  <c r="I19" i="12"/>
  <c r="G19" i="12"/>
  <c r="E19" i="12"/>
  <c r="C19" i="12"/>
  <c r="M43" i="11"/>
  <c r="M52" i="11" s="1"/>
  <c r="M54" i="11" s="1"/>
  <c r="M60" i="11" s="1"/>
  <c r="M63" i="11" s="1"/>
  <c r="K43" i="11"/>
  <c r="K52" i="11" s="1"/>
  <c r="K54" i="11" s="1"/>
  <c r="K60" i="11" s="1"/>
  <c r="K63" i="11" s="1"/>
  <c r="E43" i="11"/>
  <c r="E52" i="11" s="1"/>
  <c r="E54" i="11" s="1"/>
  <c r="E60" i="11" s="1"/>
  <c r="E63" i="11" s="1"/>
  <c r="I43" i="11"/>
  <c r="I52" i="11" s="1"/>
  <c r="I54" i="11" s="1"/>
  <c r="I60" i="11" s="1"/>
  <c r="I63" i="11" s="1"/>
  <c r="I65" i="11"/>
  <c r="G43" i="11"/>
  <c r="E65" i="11"/>
  <c r="C65" i="11"/>
  <c r="C43" i="11"/>
  <c r="C52" i="11" s="1"/>
  <c r="C54" i="11" s="1"/>
  <c r="O63" i="11"/>
  <c r="Q57" i="11"/>
  <c r="Q52" i="11"/>
  <c r="O52" i="11"/>
  <c r="G52" i="11"/>
  <c r="G54" i="11" s="1"/>
  <c r="G60" i="11" s="1"/>
  <c r="G63" i="11" s="1"/>
  <c r="W19" i="11"/>
  <c r="U19" i="11"/>
  <c r="S19" i="11"/>
  <c r="Q19" i="11"/>
  <c r="O19" i="11"/>
  <c r="M19" i="11"/>
  <c r="K19" i="11"/>
  <c r="I19" i="11"/>
  <c r="G19" i="11"/>
  <c r="E19" i="11"/>
  <c r="C19" i="11"/>
  <c r="K43" i="10"/>
  <c r="K52" i="10" s="1"/>
  <c r="K54" i="10" s="1"/>
  <c r="K60" i="10" s="1"/>
  <c r="K63" i="10" s="1"/>
  <c r="M43" i="10"/>
  <c r="M52" i="10" s="1"/>
  <c r="M54" i="10" s="1"/>
  <c r="M60" i="10" s="1"/>
  <c r="M63" i="10" s="1"/>
  <c r="I43" i="10"/>
  <c r="G43" i="10"/>
  <c r="G52" i="10" s="1"/>
  <c r="G54" i="10" s="1"/>
  <c r="G60" i="10" s="1"/>
  <c r="G63" i="10" s="1"/>
  <c r="E43" i="10"/>
  <c r="E52" i="10"/>
  <c r="E54" i="10" s="1"/>
  <c r="E60" i="10" s="1"/>
  <c r="E63" i="10" s="1"/>
  <c r="C43" i="10"/>
  <c r="C52" i="10" s="1"/>
  <c r="C54" i="10" s="1"/>
  <c r="O63" i="10"/>
  <c r="Q57" i="10"/>
  <c r="Q52" i="10"/>
  <c r="O52" i="10"/>
  <c r="I52" i="10"/>
  <c r="I54" i="10" s="1"/>
  <c r="I60" i="10" s="1"/>
  <c r="I63" i="10" s="1"/>
  <c r="Y19" i="10"/>
  <c r="W19" i="10"/>
  <c r="U19" i="10"/>
  <c r="S19" i="10"/>
  <c r="Q19" i="10"/>
  <c r="O19" i="10"/>
  <c r="M19" i="10"/>
  <c r="K19" i="10"/>
  <c r="I19" i="10"/>
  <c r="G19" i="10"/>
  <c r="E19" i="10"/>
  <c r="C19" i="10"/>
  <c r="O24" i="10" s="1"/>
  <c r="I43" i="9"/>
  <c r="C43" i="9"/>
  <c r="M43" i="9"/>
  <c r="M52" i="9" s="1"/>
  <c r="M54" i="9" s="1"/>
  <c r="M60" i="9" s="1"/>
  <c r="M63" i="9" s="1"/>
  <c r="K43" i="9"/>
  <c r="K52" i="9" s="1"/>
  <c r="K54" i="9" s="1"/>
  <c r="K60" i="9" s="1"/>
  <c r="K63" i="9" s="1"/>
  <c r="O63" i="9"/>
  <c r="Q57" i="9"/>
  <c r="Q52" i="9"/>
  <c r="O52" i="9"/>
  <c r="I52" i="9"/>
  <c r="I54" i="9" s="1"/>
  <c r="I60" i="9" s="1"/>
  <c r="I63" i="9" s="1"/>
  <c r="G52" i="9"/>
  <c r="G54" i="9" s="1"/>
  <c r="G60" i="9" s="1"/>
  <c r="G63" i="9" s="1"/>
  <c r="E52" i="9"/>
  <c r="E54" i="9" s="1"/>
  <c r="E60" i="9" s="1"/>
  <c r="E63" i="9" s="1"/>
  <c r="C52" i="9"/>
  <c r="C54" i="9" s="1"/>
  <c r="Y19" i="9"/>
  <c r="W19" i="9"/>
  <c r="U19" i="9"/>
  <c r="S19" i="9"/>
  <c r="Q19" i="9"/>
  <c r="O19" i="9"/>
  <c r="M19" i="9"/>
  <c r="K19" i="9"/>
  <c r="I19" i="9"/>
  <c r="G19" i="9"/>
  <c r="E19" i="9"/>
  <c r="C19" i="9"/>
  <c r="C10" i="6"/>
  <c r="I43" i="7"/>
  <c r="I52" i="7" s="1"/>
  <c r="I54" i="7" s="1"/>
  <c r="I60" i="7" s="1"/>
  <c r="I63" i="7" s="1"/>
  <c r="G43" i="7"/>
  <c r="G52" i="7" s="1"/>
  <c r="G54" i="7" s="1"/>
  <c r="G60" i="7" s="1"/>
  <c r="G63" i="7" s="1"/>
  <c r="E43" i="7"/>
  <c r="E52" i="7" s="1"/>
  <c r="E54" i="7" s="1"/>
  <c r="E60" i="7" s="1"/>
  <c r="E63" i="7" s="1"/>
  <c r="C43" i="7"/>
  <c r="C52" i="7" s="1"/>
  <c r="C54" i="7" s="1"/>
  <c r="K43" i="7"/>
  <c r="K52" i="7" s="1"/>
  <c r="K54" i="7" s="1"/>
  <c r="K60" i="7" s="1"/>
  <c r="K63" i="7" s="1"/>
  <c r="M43" i="7"/>
  <c r="M52" i="7"/>
  <c r="M54" i="7" s="1"/>
  <c r="M60" i="7" s="1"/>
  <c r="M63" i="7" s="1"/>
  <c r="O63" i="7"/>
  <c r="Q57" i="7"/>
  <c r="Q52" i="7"/>
  <c r="O52" i="7"/>
  <c r="Y19" i="7"/>
  <c r="W19" i="7"/>
  <c r="U19" i="7"/>
  <c r="S19" i="7"/>
  <c r="Q19" i="7"/>
  <c r="O23" i="7" s="1"/>
  <c r="O19" i="7"/>
  <c r="M19" i="7"/>
  <c r="K19" i="7"/>
  <c r="I19" i="7"/>
  <c r="G19" i="7"/>
  <c r="E19" i="7"/>
  <c r="C19" i="7"/>
  <c r="M52" i="6"/>
  <c r="M54" i="6" s="1"/>
  <c r="M60" i="6" s="1"/>
  <c r="M63" i="6" s="1"/>
  <c r="K52" i="6"/>
  <c r="K54" i="6" s="1"/>
  <c r="K60" i="6" s="1"/>
  <c r="K63" i="6" s="1"/>
  <c r="I52" i="6"/>
  <c r="I54" i="6"/>
  <c r="I60" i="6" s="1"/>
  <c r="I63" i="6" s="1"/>
  <c r="G52" i="6"/>
  <c r="G54" i="6" s="1"/>
  <c r="G60" i="6" s="1"/>
  <c r="G63" i="6" s="1"/>
  <c r="E52" i="6"/>
  <c r="E54" i="6" s="1"/>
  <c r="E60" i="6" s="1"/>
  <c r="E63" i="6" s="1"/>
  <c r="C52" i="6"/>
  <c r="C54" i="6" s="1"/>
  <c r="O63" i="6"/>
  <c r="Q57" i="6"/>
  <c r="Q52" i="6"/>
  <c r="O52" i="6"/>
  <c r="Y19" i="6"/>
  <c r="W19" i="6"/>
  <c r="U19" i="6"/>
  <c r="S19" i="6"/>
  <c r="Q19" i="6"/>
  <c r="O19" i="6"/>
  <c r="M19" i="6"/>
  <c r="K19" i="6"/>
  <c r="I19" i="6"/>
  <c r="G19" i="6"/>
  <c r="E19" i="6"/>
  <c r="C19" i="6"/>
  <c r="M43" i="4"/>
  <c r="M52" i="4" s="1"/>
  <c r="M54" i="4" s="1"/>
  <c r="M60" i="4" s="1"/>
  <c r="M63" i="4" s="1"/>
  <c r="K43" i="4"/>
  <c r="K52" i="4" s="1"/>
  <c r="K54" i="4" s="1"/>
  <c r="K60" i="4" s="1"/>
  <c r="K63" i="4" s="1"/>
  <c r="I43" i="4"/>
  <c r="I52" i="4" s="1"/>
  <c r="I54" i="4" s="1"/>
  <c r="I60" i="4" s="1"/>
  <c r="I63" i="4" s="1"/>
  <c r="I57" i="4"/>
  <c r="G57" i="4"/>
  <c r="Q57" i="4" s="1"/>
  <c r="G43" i="4"/>
  <c r="E43" i="4"/>
  <c r="E52" i="4" s="1"/>
  <c r="E54" i="4" s="1"/>
  <c r="C43" i="4"/>
  <c r="C52" i="4" s="1"/>
  <c r="C54" i="4" s="1"/>
  <c r="C60" i="4" s="1"/>
  <c r="C63" i="4" s="1"/>
  <c r="Y19" i="4"/>
  <c r="O63" i="4"/>
  <c r="Q52" i="4"/>
  <c r="O52" i="4"/>
  <c r="G52" i="4"/>
  <c r="G54" i="4" s="1"/>
  <c r="G60" i="4" s="1"/>
  <c r="G63" i="4" s="1"/>
  <c r="W19" i="4"/>
  <c r="U19" i="4"/>
  <c r="Q19" i="4"/>
  <c r="O23" i="4" s="1"/>
  <c r="O19" i="4"/>
  <c r="M19" i="4"/>
  <c r="K19" i="4"/>
  <c r="I19" i="4"/>
  <c r="E19" i="4"/>
  <c r="O24" i="4" s="1"/>
  <c r="C19" i="4"/>
  <c r="G19" i="4"/>
  <c r="S19" i="4"/>
  <c r="O62" i="3"/>
  <c r="M42" i="3"/>
  <c r="M51" i="3" s="1"/>
  <c r="M53" i="3" s="1"/>
  <c r="M59" i="3" s="1"/>
  <c r="M62" i="3" s="1"/>
  <c r="K42" i="3"/>
  <c r="K51" i="3" s="1"/>
  <c r="K53" i="3" s="1"/>
  <c r="K59" i="3" s="1"/>
  <c r="K62" i="3" s="1"/>
  <c r="I56" i="3"/>
  <c r="I42" i="3"/>
  <c r="I51" i="3" s="1"/>
  <c r="I53" i="3" s="1"/>
  <c r="I59" i="3" s="1"/>
  <c r="I62" i="3" s="1"/>
  <c r="G42" i="3"/>
  <c r="G51" i="3" s="1"/>
  <c r="G53" i="3" s="1"/>
  <c r="G59" i="3" s="1"/>
  <c r="G62" i="3" s="1"/>
  <c r="G56" i="3"/>
  <c r="Q56" i="3" s="1"/>
  <c r="E42" i="3"/>
  <c r="C42" i="3"/>
  <c r="C51" i="3" s="1"/>
  <c r="C53" i="3" s="1"/>
  <c r="S17" i="3"/>
  <c r="S15" i="3"/>
  <c r="S14" i="3"/>
  <c r="G13" i="3"/>
  <c r="G18" i="3" s="1"/>
  <c r="G22" i="3" s="1"/>
  <c r="S12" i="3"/>
  <c r="S10" i="3"/>
  <c r="S8" i="3"/>
  <c r="E51" i="3"/>
  <c r="E53" i="3" s="1"/>
  <c r="E59" i="3" s="1"/>
  <c r="E62" i="3" s="1"/>
  <c r="O51" i="3"/>
  <c r="Q51" i="3"/>
  <c r="E18" i="3"/>
  <c r="E22" i="3" s="1"/>
  <c r="I18" i="3"/>
  <c r="K18" i="3"/>
  <c r="M18" i="3"/>
  <c r="O18" i="3"/>
  <c r="Q18" i="3"/>
  <c r="U18" i="3"/>
  <c r="W18" i="3"/>
  <c r="C18" i="3"/>
  <c r="C22" i="3"/>
  <c r="O24" i="9"/>
  <c r="O24" i="6"/>
  <c r="C60" i="19" l="1"/>
  <c r="C63" i="19" s="1"/>
  <c r="Q54" i="19"/>
  <c r="Q60" i="19" s="1"/>
  <c r="G60" i="20"/>
  <c r="G63" i="20" s="1"/>
  <c r="Q54" i="20"/>
  <c r="Q60" i="20" s="1"/>
  <c r="Q63" i="20" s="1"/>
  <c r="O23" i="6"/>
  <c r="O25" i="6" s="1"/>
  <c r="O28" i="6" s="1"/>
  <c r="O35" i="6" s="1"/>
  <c r="O24" i="7"/>
  <c r="O24" i="11"/>
  <c r="O23" i="11"/>
  <c r="O25" i="11" s="1"/>
  <c r="O28" i="11" s="1"/>
  <c r="O35" i="11" s="1"/>
  <c r="O23" i="15"/>
  <c r="O23" i="21"/>
  <c r="O25" i="21" s="1"/>
  <c r="O28" i="21" s="1"/>
  <c r="O35" i="21" s="1"/>
  <c r="O23" i="22"/>
  <c r="O25" i="22" s="1"/>
  <c r="O28" i="22" s="1"/>
  <c r="O35" i="22" s="1"/>
  <c r="O23" i="23"/>
  <c r="O25" i="23" s="1"/>
  <c r="O28" i="23" s="1"/>
  <c r="O35" i="23" s="1"/>
  <c r="O23" i="33"/>
  <c r="O25" i="33" s="1"/>
  <c r="O28" i="33" s="1"/>
  <c r="O35" i="33" s="1"/>
  <c r="O24" i="39"/>
  <c r="O23" i="3"/>
  <c r="O23" i="9"/>
  <c r="O25" i="9" s="1"/>
  <c r="O28" i="9" s="1"/>
  <c r="O35" i="9" s="1"/>
  <c r="O23" i="10"/>
  <c r="O25" i="10" s="1"/>
  <c r="O28" i="10" s="1"/>
  <c r="O35" i="10" s="1"/>
  <c r="O25" i="24"/>
  <c r="O28" i="24" s="1"/>
  <c r="O35" i="24" s="1"/>
  <c r="O23" i="25"/>
  <c r="O25" i="25" s="1"/>
  <c r="O28" i="25" s="1"/>
  <c r="O35" i="25" s="1"/>
  <c r="O23" i="27"/>
  <c r="O25" i="27" s="1"/>
  <c r="O28" i="27" s="1"/>
  <c r="O35" i="27" s="1"/>
  <c r="O25" i="4"/>
  <c r="O28" i="4" s="1"/>
  <c r="O35" i="4" s="1"/>
  <c r="O24" i="13"/>
  <c r="O25" i="13" s="1"/>
  <c r="O28" i="13" s="1"/>
  <c r="O35" i="13" s="1"/>
  <c r="O24" i="14"/>
  <c r="O24" i="19"/>
  <c r="O25" i="19" s="1"/>
  <c r="O28" i="19" s="1"/>
  <c r="O35" i="19" s="1"/>
  <c r="O23" i="26"/>
  <c r="O23" i="14"/>
  <c r="O23" i="28"/>
  <c r="O25" i="28" s="1"/>
  <c r="O28" i="28" s="1"/>
  <c r="O35" i="28" s="1"/>
  <c r="O23" i="30"/>
  <c r="O25" i="30" s="1"/>
  <c r="O28" i="30" s="1"/>
  <c r="O23" i="31"/>
  <c r="G23" i="3"/>
  <c r="S18" i="3"/>
  <c r="O24" i="12"/>
  <c r="O23" i="16"/>
  <c r="O23" i="18"/>
  <c r="O24" i="35"/>
  <c r="O23" i="35"/>
  <c r="O23" i="38"/>
  <c r="O25" i="38" s="1"/>
  <c r="O28" i="38" s="1"/>
  <c r="O35" i="38" s="1"/>
  <c r="O24" i="29"/>
  <c r="O23" i="29"/>
  <c r="O23" i="40"/>
  <c r="O25" i="40" s="1"/>
  <c r="O28" i="40" s="1"/>
  <c r="O35" i="40" s="1"/>
  <c r="O24" i="41"/>
  <c r="O23" i="12"/>
  <c r="O24" i="18"/>
  <c r="O23" i="32"/>
  <c r="O25" i="32" s="1"/>
  <c r="O28" i="32" s="1"/>
  <c r="O35" i="32" s="1"/>
  <c r="O24" i="34"/>
  <c r="O23" i="34"/>
  <c r="O23" i="36"/>
  <c r="O25" i="36" s="1"/>
  <c r="O28" i="36" s="1"/>
  <c r="O35" i="36" s="1"/>
  <c r="D56" i="93"/>
  <c r="D60" i="93" s="1"/>
  <c r="Q47" i="93"/>
  <c r="AJ56" i="93" s="1"/>
  <c r="AJ60" i="93" s="1"/>
  <c r="P64" i="93" s="1"/>
  <c r="C60" i="10"/>
  <c r="C63" i="10" s="1"/>
  <c r="Q54" i="10"/>
  <c r="Q60" i="10" s="1"/>
  <c r="O22" i="3"/>
  <c r="O24" i="3" s="1"/>
  <c r="O27" i="3" s="1"/>
  <c r="O34" i="3" s="1"/>
  <c r="C59" i="3"/>
  <c r="C62" i="3" s="1"/>
  <c r="Q53" i="3"/>
  <c r="Q59" i="3" s="1"/>
  <c r="O25" i="7"/>
  <c r="O28" i="7" s="1"/>
  <c r="O35" i="7" s="1"/>
  <c r="C60" i="9"/>
  <c r="C63" i="9" s="1"/>
  <c r="Q54" i="9"/>
  <c r="Q60" i="9" s="1"/>
  <c r="Q54" i="12"/>
  <c r="Q60" i="12" s="1"/>
  <c r="C60" i="12"/>
  <c r="C63" i="12" s="1"/>
  <c r="Q54" i="16"/>
  <c r="Q60" i="16" s="1"/>
  <c r="C60" i="16"/>
  <c r="C63" i="16" s="1"/>
  <c r="C60" i="23"/>
  <c r="C63" i="23" s="1"/>
  <c r="Q54" i="23"/>
  <c r="Q60" i="23" s="1"/>
  <c r="Q54" i="11"/>
  <c r="Q60" i="11" s="1"/>
  <c r="C60" i="11"/>
  <c r="C63" i="11" s="1"/>
  <c r="Q63" i="19"/>
  <c r="C68" i="19"/>
  <c r="K68" i="19" s="1"/>
  <c r="O25" i="14"/>
  <c r="O28" i="14" s="1"/>
  <c r="O35" i="14" s="1"/>
  <c r="C60" i="14"/>
  <c r="C63" i="14" s="1"/>
  <c r="Q54" i="14"/>
  <c r="Q60" i="14" s="1"/>
  <c r="C60" i="15"/>
  <c r="C63" i="15" s="1"/>
  <c r="Q54" i="15"/>
  <c r="Q60" i="15" s="1"/>
  <c r="C60" i="6"/>
  <c r="C63" i="6" s="1"/>
  <c r="Q54" i="6"/>
  <c r="Q60" i="6" s="1"/>
  <c r="C60" i="7"/>
  <c r="C63" i="7" s="1"/>
  <c r="Q54" i="7"/>
  <c r="Q60" i="7" s="1"/>
  <c r="O25" i="16"/>
  <c r="O28" i="16" s="1"/>
  <c r="O35" i="16" s="1"/>
  <c r="O25" i="15"/>
  <c r="O28" i="15" s="1"/>
  <c r="O35" i="15" s="1"/>
  <c r="Q54" i="4"/>
  <c r="Q60" i="4" s="1"/>
  <c r="E60" i="4"/>
  <c r="E63" i="4" s="1"/>
  <c r="O25" i="12"/>
  <c r="O28" i="12" s="1"/>
  <c r="O35" i="12" s="1"/>
  <c r="C60" i="13"/>
  <c r="C63" i="13" s="1"/>
  <c r="Q54" i="13"/>
  <c r="Q60" i="13" s="1"/>
  <c r="I60" i="18"/>
  <c r="I63" i="18" s="1"/>
  <c r="Q54" i="18"/>
  <c r="Q60" i="18" s="1"/>
  <c r="O23" i="39"/>
  <c r="O25" i="39" s="1"/>
  <c r="O28" i="39" s="1"/>
  <c r="O35" i="39" s="1"/>
  <c r="Q54" i="40"/>
  <c r="Q60" i="40" s="1"/>
  <c r="C60" i="40"/>
  <c r="C63" i="40" s="1"/>
  <c r="E60" i="25"/>
  <c r="E63" i="25" s="1"/>
  <c r="Q54" i="25"/>
  <c r="Q60" i="25" s="1"/>
  <c r="O25" i="34"/>
  <c r="O28" i="34" s="1"/>
  <c r="O35" i="34" s="1"/>
  <c r="O25" i="35"/>
  <c r="O28" i="35" s="1"/>
  <c r="O35" i="35" s="1"/>
  <c r="Q54" i="28"/>
  <c r="Q60" i="28" s="1"/>
  <c r="C60" i="28"/>
  <c r="C63" i="28" s="1"/>
  <c r="C60" i="33"/>
  <c r="C63" i="33" s="1"/>
  <c r="Q54" i="33"/>
  <c r="Q60" i="33" s="1"/>
  <c r="C60" i="24"/>
  <c r="C63" i="24" s="1"/>
  <c r="Q54" i="24"/>
  <c r="Q60" i="24" s="1"/>
  <c r="Q54" i="22"/>
  <c r="Q60" i="22" s="1"/>
  <c r="C60" i="22"/>
  <c r="C63" i="22" s="1"/>
  <c r="C60" i="38"/>
  <c r="C63" i="38" s="1"/>
  <c r="Q54" i="38"/>
  <c r="Q60" i="38" s="1"/>
  <c r="Q54" i="27"/>
  <c r="Q60" i="27" s="1"/>
  <c r="C60" i="27"/>
  <c r="C63" i="27" s="1"/>
  <c r="C68" i="20"/>
  <c r="K68" i="20" s="1"/>
  <c r="O25" i="26"/>
  <c r="O28" i="26" s="1"/>
  <c r="O35" i="26" s="1"/>
  <c r="K68" i="37"/>
  <c r="Q54" i="39"/>
  <c r="Q60" i="39" s="1"/>
  <c r="C60" i="39"/>
  <c r="C63" i="39" s="1"/>
  <c r="O23" i="41"/>
  <c r="O25" i="41" s="1"/>
  <c r="O28" i="41" s="1"/>
  <c r="O35" i="41" s="1"/>
  <c r="E60" i="41"/>
  <c r="E63" i="41" s="1"/>
  <c r="Q54" i="41"/>
  <c r="Q60" i="41" s="1"/>
  <c r="Q54" i="32"/>
  <c r="Q60" i="32" s="1"/>
  <c r="C60" i="32"/>
  <c r="C63" i="32" s="1"/>
  <c r="C60" i="35"/>
  <c r="C63" i="35" s="1"/>
  <c r="Q54" i="35"/>
  <c r="Q60" i="35" s="1"/>
  <c r="E60" i="21"/>
  <c r="E63" i="21" s="1"/>
  <c r="Q54" i="21"/>
  <c r="Q60" i="21" s="1"/>
  <c r="Q54" i="26"/>
  <c r="Q60" i="26" s="1"/>
  <c r="Q63" i="37"/>
  <c r="Q54" i="31"/>
  <c r="Q60" i="31" s="1"/>
  <c r="E60" i="29"/>
  <c r="E63" i="29" s="1"/>
  <c r="Q54" i="29"/>
  <c r="Q60" i="29" s="1"/>
  <c r="O35" i="30"/>
  <c r="Q54" i="30"/>
  <c r="Q60" i="30" s="1"/>
  <c r="C60" i="30"/>
  <c r="C63" i="30" s="1"/>
  <c r="O25" i="31"/>
  <c r="O28" i="31" s="1"/>
  <c r="O35" i="31" s="1"/>
  <c r="C60" i="34"/>
  <c r="C63" i="34" s="1"/>
  <c r="Q54" i="34"/>
  <c r="Q60" i="34" s="1"/>
  <c r="E60" i="36"/>
  <c r="E63" i="36" s="1"/>
  <c r="Q54" i="36"/>
  <c r="Q60" i="36" s="1"/>
  <c r="O25" i="18" l="1"/>
  <c r="O28" i="18" s="1"/>
  <c r="O35" i="18" s="1"/>
  <c r="O25" i="29"/>
  <c r="O28" i="29" s="1"/>
  <c r="O35" i="29" s="1"/>
  <c r="R64" i="93"/>
  <c r="R65" i="93" s="1"/>
  <c r="P65" i="93"/>
  <c r="C68" i="22"/>
  <c r="K68" i="22" s="1"/>
  <c r="Q63" i="22"/>
  <c r="C68" i="11"/>
  <c r="K68" i="11" s="1"/>
  <c r="Q63" i="11"/>
  <c r="C68" i="24"/>
  <c r="K68" i="24" s="1"/>
  <c r="Q63" i="24"/>
  <c r="C68" i="18"/>
  <c r="K68" i="18" s="1"/>
  <c r="Q63" i="18"/>
  <c r="C68" i="14"/>
  <c r="K68" i="14" s="1"/>
  <c r="Q63" i="14"/>
  <c r="C68" i="21"/>
  <c r="K68" i="21" s="1"/>
  <c r="Q63" i="21"/>
  <c r="Q62" i="3"/>
  <c r="C67" i="3"/>
  <c r="K67" i="3" s="1"/>
  <c r="Q63" i="30"/>
  <c r="C68" i="30"/>
  <c r="K68" i="30" s="1"/>
  <c r="Q63" i="33"/>
  <c r="C68" i="33"/>
  <c r="K68" i="33" s="1"/>
  <c r="Q63" i="13"/>
  <c r="C68" i="13"/>
  <c r="K68" i="13" s="1"/>
  <c r="Q63" i="7"/>
  <c r="C68" i="7"/>
  <c r="K68" i="7" s="1"/>
  <c r="Q63" i="25"/>
  <c r="C68" i="25"/>
  <c r="K68" i="25" s="1"/>
  <c r="C68" i="35"/>
  <c r="K68" i="35" s="1"/>
  <c r="Q63" i="35"/>
  <c r="C68" i="27"/>
  <c r="K68" i="27" s="1"/>
  <c r="Q63" i="27"/>
  <c r="Q63" i="16"/>
  <c r="C68" i="16"/>
  <c r="K68" i="16" s="1"/>
  <c r="C68" i="41"/>
  <c r="K68" i="41" s="1"/>
  <c r="Q63" i="41"/>
  <c r="Q63" i="40"/>
  <c r="C68" i="40"/>
  <c r="K68" i="40" s="1"/>
  <c r="C68" i="6"/>
  <c r="K68" i="6" s="1"/>
  <c r="Q63" i="6"/>
  <c r="C68" i="10"/>
  <c r="K68" i="10" s="1"/>
  <c r="Q63" i="10"/>
  <c r="C68" i="36"/>
  <c r="K68" i="36" s="1"/>
  <c r="Q63" i="36"/>
  <c r="C68" i="39"/>
  <c r="K68" i="39" s="1"/>
  <c r="Q63" i="39"/>
  <c r="C68" i="12"/>
  <c r="K68" i="12" s="1"/>
  <c r="Q63" i="12"/>
  <c r="C68" i="26"/>
  <c r="K68" i="26" s="1"/>
  <c r="Q63" i="26"/>
  <c r="Q63" i="23"/>
  <c r="C68" i="23"/>
  <c r="K68" i="23" s="1"/>
  <c r="Q63" i="29"/>
  <c r="C68" i="29"/>
  <c r="K68" i="29" s="1"/>
  <c r="Q63" i="38"/>
  <c r="C68" i="38"/>
  <c r="K68" i="38" s="1"/>
  <c r="Q63" i="34"/>
  <c r="C68" i="34"/>
  <c r="K68" i="34" s="1"/>
  <c r="Q63" i="31"/>
  <c r="C68" i="31"/>
  <c r="K68" i="31" s="1"/>
  <c r="Q63" i="32"/>
  <c r="C68" i="32"/>
  <c r="K68" i="32" s="1"/>
  <c r="Q63" i="28"/>
  <c r="C68" i="28"/>
  <c r="K68" i="28" s="1"/>
  <c r="Q63" i="4"/>
  <c r="C68" i="4"/>
  <c r="K68" i="4" s="1"/>
  <c r="Q63" i="15"/>
  <c r="C68" i="15"/>
  <c r="K68" i="15" s="1"/>
  <c r="Q63" i="9"/>
  <c r="C68" i="9"/>
  <c r="K68" i="9" s="1"/>
  <c r="AJ65" i="93" l="1"/>
</calcChain>
</file>

<file path=xl/comments1.xml><?xml version="1.0" encoding="utf-8"?>
<comments xmlns="http://schemas.openxmlformats.org/spreadsheetml/2006/main">
  <authors>
    <author>siset</author>
  </authors>
  <commentList>
    <comment ref="R65" authorId="0" shapeId="0">
      <text>
        <r>
          <rPr>
            <b/>
            <sz val="9"/>
            <color indexed="81"/>
            <rFont val="Tahoma"/>
            <family val="2"/>
          </rPr>
          <t>How do you reconcile this total?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siset</author>
  </authors>
  <commentList>
    <comment ref="R65" authorId="0" shapeId="0">
      <text>
        <r>
          <rPr>
            <b/>
            <sz val="9"/>
            <color indexed="81"/>
            <rFont val="Tahoma"/>
            <family val="2"/>
          </rPr>
          <t>How do you reconcile this total?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<sst xmlns="http://schemas.openxmlformats.org/spreadsheetml/2006/main" count="1952" uniqueCount="194">
  <si>
    <t>Friday- Nov 24</t>
  </si>
  <si>
    <t>Number of tickets:</t>
  </si>
  <si>
    <t>Time:</t>
  </si>
  <si>
    <t>Adult</t>
  </si>
  <si>
    <t>Member</t>
  </si>
  <si>
    <t>Youth</t>
  </si>
  <si>
    <t>QT Adult</t>
  </si>
  <si>
    <t>QT Youth</t>
  </si>
  <si>
    <t>Presold Adult</t>
  </si>
  <si>
    <t>Presold Youth</t>
  </si>
  <si>
    <t>PayPal</t>
  </si>
  <si>
    <t>Comp</t>
  </si>
  <si>
    <t>Volunteer Comp</t>
  </si>
  <si>
    <t>Tickets sold:</t>
  </si>
  <si>
    <t>Money rec'd</t>
  </si>
  <si>
    <t>Deposit S/B</t>
  </si>
  <si>
    <t>Total visitors unpaid at gate:</t>
  </si>
  <si>
    <t>Total paid at gate:</t>
  </si>
  <si>
    <t>Total attendance</t>
  </si>
  <si>
    <t>Staff</t>
  </si>
  <si>
    <t>Volunteers</t>
  </si>
  <si>
    <t>Total</t>
  </si>
  <si>
    <t>Bus</t>
  </si>
  <si>
    <t>I Earned It</t>
  </si>
  <si>
    <t>BB/BS</t>
  </si>
  <si>
    <t>Musicians</t>
  </si>
  <si>
    <t>Deposits?</t>
  </si>
  <si>
    <t>Box 1</t>
  </si>
  <si>
    <t>Box 2</t>
  </si>
  <si>
    <t>Box 3</t>
  </si>
  <si>
    <t>Box 4</t>
  </si>
  <si>
    <t>Box 5</t>
  </si>
  <si>
    <t>Box 6</t>
  </si>
  <si>
    <t>Greenery</t>
  </si>
  <si>
    <t>Total Cash</t>
  </si>
  <si>
    <t>Less Beginning</t>
  </si>
  <si>
    <t>Cash Deposit</t>
  </si>
  <si>
    <t>Checks:</t>
  </si>
  <si>
    <t>Total Checks</t>
  </si>
  <si>
    <t>Total Deposit</t>
  </si>
  <si>
    <t>CC Total</t>
  </si>
  <si>
    <t>Deposit is:</t>
  </si>
  <si>
    <t>Bank</t>
  </si>
  <si>
    <t>With CC:</t>
  </si>
  <si>
    <t>Saturday- Nov 25</t>
  </si>
  <si>
    <t>Presold Member</t>
  </si>
  <si>
    <t>Wednesday</t>
  </si>
  <si>
    <t>Thursday</t>
  </si>
  <si>
    <t>Sunday- Nov 26</t>
  </si>
  <si>
    <t>Tickets</t>
  </si>
  <si>
    <t>Paypal</t>
  </si>
  <si>
    <t>Party Bus</t>
  </si>
  <si>
    <t>Wed</t>
  </si>
  <si>
    <t>Fri</t>
  </si>
  <si>
    <t>Sat</t>
  </si>
  <si>
    <t>Sun</t>
  </si>
  <si>
    <t>Mon</t>
  </si>
  <si>
    <t>Tues</t>
  </si>
  <si>
    <t>Thurs</t>
  </si>
  <si>
    <t xml:space="preserve"> </t>
  </si>
  <si>
    <t>Monday- Nov 27</t>
  </si>
  <si>
    <t xml:space="preserve">*volunteer gave wrong tickets all night. </t>
  </si>
  <si>
    <t>Deposits</t>
  </si>
  <si>
    <t>Tuesday- Nov 28</t>
  </si>
  <si>
    <t>Wednesday- Nov 29</t>
  </si>
  <si>
    <t>Thursday- Nov 30</t>
  </si>
  <si>
    <t>Friday- Dec 1</t>
  </si>
  <si>
    <t>Saturday- Dec 2</t>
  </si>
  <si>
    <t>Sunday- Dec 3</t>
  </si>
  <si>
    <t>Monday- Dec 4</t>
  </si>
  <si>
    <t>Tuesday- Dec 5</t>
  </si>
  <si>
    <t>Wednesday- Dec 6</t>
  </si>
  <si>
    <t>Thursday- Dec 7</t>
  </si>
  <si>
    <t>Friday- Dec 8</t>
  </si>
  <si>
    <t>McConnell</t>
  </si>
  <si>
    <t>Saturday- Dec 9</t>
  </si>
  <si>
    <t>I earned it</t>
  </si>
  <si>
    <t>Sunday- Dec 10</t>
  </si>
  <si>
    <t>Monday- Dec 11</t>
  </si>
  <si>
    <t>Tuesday- Dec 12</t>
  </si>
  <si>
    <t>Wednesday- Dec 13</t>
  </si>
  <si>
    <t>Thursday- Dec 14</t>
  </si>
  <si>
    <t>Friday- Dec 15</t>
  </si>
  <si>
    <t>Saturday- Dec 16</t>
  </si>
  <si>
    <t>Sunday- Dec 17</t>
  </si>
  <si>
    <t>Monday- Dec 18</t>
  </si>
  <si>
    <t>Tuesday- Dec 19</t>
  </si>
  <si>
    <t>Thursday- Dec 21</t>
  </si>
  <si>
    <t>Wednesday- Dec 20</t>
  </si>
  <si>
    <t>Friday- Dec 22</t>
  </si>
  <si>
    <t>Saturday- Dec 23</t>
  </si>
  <si>
    <t>Tuesday- Dec 26</t>
  </si>
  <si>
    <t>Wednesday- Dec 27</t>
  </si>
  <si>
    <t>Thursday- Dec 28</t>
  </si>
  <si>
    <t>Friday- Dec 29</t>
  </si>
  <si>
    <t>Saturday- Dec 30</t>
  </si>
  <si>
    <t>Sunday- Dec 31</t>
  </si>
  <si>
    <t>cc</t>
  </si>
  <si>
    <t>S'mores</t>
  </si>
  <si>
    <t>Bracelets</t>
  </si>
  <si>
    <t>Date:</t>
  </si>
  <si>
    <t>Number of Tickets:</t>
  </si>
  <si>
    <t>Time</t>
  </si>
  <si>
    <t>QT adult</t>
  </si>
  <si>
    <t>QT youth</t>
  </si>
  <si>
    <t>Presold A</t>
  </si>
  <si>
    <t>Presold M</t>
  </si>
  <si>
    <t>Presold-Y</t>
  </si>
  <si>
    <t>Vol Comp</t>
  </si>
  <si>
    <t>Tickets sold</t>
  </si>
  <si>
    <t>Total Paid at gate:</t>
  </si>
  <si>
    <t>DEPOSITS:</t>
  </si>
  <si>
    <t>Less Beg</t>
  </si>
  <si>
    <t>.</t>
  </si>
  <si>
    <t>Other</t>
  </si>
  <si>
    <t>Deposit is</t>
  </si>
  <si>
    <t>Lobby</t>
  </si>
  <si>
    <t>Party Barn</t>
  </si>
  <si>
    <t>Pavilion</t>
  </si>
  <si>
    <t>Other Sales</t>
  </si>
  <si>
    <t>less security</t>
  </si>
  <si>
    <t>Total w/cc</t>
  </si>
  <si>
    <t>Tablet 1</t>
  </si>
  <si>
    <t>Tablet 2</t>
  </si>
  <si>
    <t>Tablet 3</t>
  </si>
  <si>
    <t>Tablet 4</t>
  </si>
  <si>
    <t>Tablet 5</t>
  </si>
  <si>
    <t>Tablet 6</t>
  </si>
  <si>
    <t>Tablet 11</t>
  </si>
  <si>
    <t>Square</t>
  </si>
  <si>
    <t>TAM Total</t>
  </si>
  <si>
    <t>Other Total</t>
  </si>
  <si>
    <t>TICKETS</t>
  </si>
  <si>
    <t xml:space="preserve">Adult Red </t>
  </si>
  <si>
    <t xml:space="preserve">Youth Green </t>
  </si>
  <si>
    <t>Member Grey</t>
  </si>
  <si>
    <t>Adult QT</t>
  </si>
  <si>
    <t>Youth QT</t>
  </si>
  <si>
    <t>Adult w/Company- Purple</t>
  </si>
  <si>
    <t>Youth w/Company- Pink</t>
  </si>
  <si>
    <t>Volunteer Ticket- Orange</t>
  </si>
  <si>
    <t>Musician- Light Green</t>
  </si>
  <si>
    <t>Premier Member- Light Blue</t>
  </si>
  <si>
    <t>Comp- Dark Blue</t>
  </si>
  <si>
    <t>Paypal Adult</t>
  </si>
  <si>
    <t>Paypal Member</t>
  </si>
  <si>
    <t>Paypal Youth</t>
  </si>
  <si>
    <t xml:space="preserve">Comp  </t>
  </si>
  <si>
    <t>deposit</t>
  </si>
  <si>
    <t>Total Receipts</t>
  </si>
  <si>
    <t>Total Sales</t>
  </si>
  <si>
    <t>Total Visitors Pre-paid/Comp at gate:</t>
  </si>
  <si>
    <t>Total Gate Attendance</t>
  </si>
  <si>
    <t>Total Gate and Other Attendance</t>
  </si>
  <si>
    <t>Grand Total Attendance</t>
  </si>
  <si>
    <t>Ticket Gate Sales</t>
  </si>
  <si>
    <t>Pre-paid/Comp Nightly Tickets</t>
  </si>
  <si>
    <t>Cottage</t>
  </si>
  <si>
    <t>Carousel</t>
  </si>
  <si>
    <t>Actual Cash Pymts</t>
  </si>
  <si>
    <t>Ticket Sales</t>
  </si>
  <si>
    <t>TAM</t>
  </si>
  <si>
    <t>CC</t>
  </si>
  <si>
    <t>Cash Over/(Short)</t>
  </si>
  <si>
    <t>Cash/Ck</t>
  </si>
  <si>
    <t>Deposit S/B per Ticket Sales</t>
  </si>
  <si>
    <t>Off-line</t>
  </si>
  <si>
    <t>no tickets- textron night</t>
  </si>
  <si>
    <t>Carousel Popcorn</t>
  </si>
  <si>
    <t>Carousel Drinks</t>
  </si>
  <si>
    <t>Carousel Tokens</t>
  </si>
  <si>
    <t>Ungategorized</t>
  </si>
  <si>
    <t>C Token</t>
  </si>
  <si>
    <t>3D Glasses</t>
  </si>
  <si>
    <t>Candy</t>
  </si>
  <si>
    <t>Chips</t>
  </si>
  <si>
    <t>Cookie</t>
  </si>
  <si>
    <t>Headband</t>
  </si>
  <si>
    <t>Hot Drink</t>
  </si>
  <si>
    <t>Necklace</t>
  </si>
  <si>
    <t>Popcorn</t>
  </si>
  <si>
    <t>Water/Soda</t>
  </si>
  <si>
    <t>Fees</t>
  </si>
  <si>
    <t>SQUARE</t>
  </si>
  <si>
    <t>Ungat.</t>
  </si>
  <si>
    <t>Gift Shop</t>
  </si>
  <si>
    <t>Café</t>
  </si>
  <si>
    <t>Returned Items</t>
  </si>
  <si>
    <t>Square &amp; cash Pymts</t>
  </si>
  <si>
    <t>Square Deposit</t>
  </si>
  <si>
    <t>TICKET SALES:</t>
  </si>
  <si>
    <t>Tokens</t>
  </si>
  <si>
    <t>Other Sales:</t>
  </si>
  <si>
    <t>2021 Holiday Extravaganza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</si>
</sst>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;@"/>
    <numFmt numFmtId="165" formatCode="&quot;$&quot;#,##0.00"/>
    <numFmt numFmtId="166" formatCode="_(&quot;$&quot;* #,##0_);_(&quot;$&quot;* \(#,##0\);_(&quot;$&quot;* &quot;-&quot;??_);_(@_)"/>
    <numFmt numFmtId="167" formatCode="_(* #,##0_);_(* \(#,##0\);_(* &quot;-&quot;??_);_(@_)"/>
    <numFmt numFmtId="168" formatCode="dddd\-mmm\ dd"/>
    <numFmt numFmtId="169" formatCode="m/d/yy;@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0"/>
      <name val="Arial"/>
      <family val="2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9" tint="-0.249977111117893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20"/>
      <color theme="1"/>
      <name val="Times New Roman"/>
      <family val="1"/>
    </font>
    <font>
      <b/>
      <sz val="11"/>
      <color theme="1"/>
      <name val="Times New Roman"/>
      <family val="1"/>
    </font>
    <font>
      <sz val="2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0" fillId="0" borderId="0" xfId="0" applyBorder="1"/>
    <xf numFmtId="0" fontId="0" fillId="0" borderId="0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44" fontId="0" fillId="0" borderId="0" xfId="1" applyFont="1" applyBorder="1"/>
    <xf numFmtId="44" fontId="0" fillId="0" borderId="0" xfId="0" applyNumberFormat="1" applyBorder="1"/>
    <xf numFmtId="44" fontId="2" fillId="0" borderId="0" xfId="1" applyFont="1" applyBorder="1"/>
    <xf numFmtId="44" fontId="0" fillId="0" borderId="2" xfId="1" applyFont="1" applyBorder="1"/>
    <xf numFmtId="44" fontId="2" fillId="0" borderId="0" xfId="0" applyNumberFormat="1" applyFont="1" applyBorder="1"/>
    <xf numFmtId="0" fontId="5" fillId="0" borderId="0" xfId="0" applyFont="1"/>
    <xf numFmtId="0" fontId="0" fillId="0" borderId="0" xfId="0" applyAlignment="1"/>
    <xf numFmtId="166" fontId="0" fillId="0" borderId="0" xfId="1" applyNumberFormat="1" applyFont="1"/>
    <xf numFmtId="166" fontId="0" fillId="0" borderId="3" xfId="1" applyNumberFormat="1" applyFont="1" applyBorder="1"/>
    <xf numFmtId="166" fontId="0" fillId="0" borderId="0" xfId="1" applyNumberFormat="1" applyFont="1" applyBorder="1"/>
    <xf numFmtId="166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Border="1" applyAlignment="1">
      <alignment horizontal="center" wrapText="1"/>
    </xf>
    <xf numFmtId="0" fontId="6" fillId="0" borderId="0" xfId="0" applyFont="1"/>
    <xf numFmtId="0" fontId="4" fillId="0" borderId="0" xfId="0" applyFont="1"/>
    <xf numFmtId="0" fontId="0" fillId="0" borderId="5" xfId="0" applyBorder="1"/>
    <xf numFmtId="0" fontId="7" fillId="0" borderId="0" xfId="0" applyFont="1" applyBorder="1"/>
    <xf numFmtId="167" fontId="0" fillId="0" borderId="0" xfId="2" applyNumberFormat="1" applyFont="1"/>
    <xf numFmtId="167" fontId="3" fillId="0" borderId="0" xfId="2" applyNumberFormat="1" applyFont="1"/>
    <xf numFmtId="167" fontId="0" fillId="0" borderId="0" xfId="2" applyNumberFormat="1" applyFont="1" applyBorder="1"/>
    <xf numFmtId="167" fontId="2" fillId="0" borderId="0" xfId="2" applyNumberFormat="1" applyFont="1"/>
    <xf numFmtId="167" fontId="2" fillId="0" borderId="4" xfId="2" applyNumberFormat="1" applyFont="1" applyBorder="1"/>
    <xf numFmtId="44" fontId="0" fillId="0" borderId="0" xfId="0" applyNumberFormat="1"/>
    <xf numFmtId="44" fontId="0" fillId="0" borderId="3" xfId="0" applyNumberFormat="1" applyBorder="1"/>
    <xf numFmtId="0" fontId="11" fillId="0" borderId="0" xfId="0" applyFont="1"/>
    <xf numFmtId="166" fontId="2" fillId="0" borderId="0" xfId="1" applyNumberFormat="1" applyFont="1"/>
    <xf numFmtId="166" fontId="8" fillId="0" borderId="0" xfId="1" applyNumberFormat="1" applyFont="1"/>
    <xf numFmtId="166" fontId="0" fillId="0" borderId="0" xfId="1" applyNumberFormat="1" applyFont="1" applyFill="1" applyBorder="1"/>
    <xf numFmtId="166" fontId="0" fillId="3" borderId="0" xfId="1" applyNumberFormat="1" applyFont="1" applyFill="1"/>
    <xf numFmtId="166" fontId="2" fillId="3" borderId="0" xfId="1" applyNumberFormat="1" applyFont="1" applyFill="1"/>
    <xf numFmtId="0" fontId="2" fillId="0" borderId="0" xfId="0" applyFont="1" applyAlignment="1">
      <alignment vertical="center" wrapText="1"/>
    </xf>
    <xf numFmtId="166" fontId="2" fillId="3" borderId="0" xfId="1" applyNumberFormat="1" applyFont="1" applyFill="1" applyBorder="1"/>
    <xf numFmtId="166" fontId="10" fillId="3" borderId="0" xfId="1" applyNumberFormat="1" applyFont="1" applyFill="1" applyBorder="1"/>
    <xf numFmtId="166" fontId="0" fillId="0" borderId="0" xfId="1" applyNumberFormat="1" applyFont="1" applyAlignment="1">
      <alignment horizontal="right"/>
    </xf>
    <xf numFmtId="167" fontId="2" fillId="0" borderId="7" xfId="2" applyNumberFormat="1" applyFont="1" applyBorder="1"/>
    <xf numFmtId="167" fontId="3" fillId="0" borderId="0" xfId="2" applyNumberFormat="1" applyFont="1" applyFill="1" applyBorder="1"/>
    <xf numFmtId="167" fontId="3" fillId="0" borderId="3" xfId="2" applyNumberFormat="1" applyFont="1" applyBorder="1"/>
    <xf numFmtId="167" fontId="12" fillId="0" borderId="0" xfId="2" applyNumberFormat="1" applyFont="1"/>
    <xf numFmtId="166" fontId="2" fillId="0" borderId="4" xfId="1" applyNumberFormat="1" applyFont="1" applyBorder="1"/>
    <xf numFmtId="166" fontId="2" fillId="0" borderId="2" xfId="1" applyNumberFormat="1" applyFont="1" applyBorder="1"/>
    <xf numFmtId="166" fontId="2" fillId="5" borderId="0" xfId="1" applyNumberFormat="1" applyFont="1" applyFill="1"/>
    <xf numFmtId="166" fontId="10" fillId="5" borderId="0" xfId="1" applyNumberFormat="1" applyFont="1" applyFill="1" applyBorder="1"/>
    <xf numFmtId="166" fontId="10" fillId="6" borderId="2" xfId="1" applyNumberFormat="1" applyFont="1" applyFill="1" applyBorder="1"/>
    <xf numFmtId="0" fontId="0" fillId="4" borderId="0" xfId="0" applyFill="1"/>
    <xf numFmtId="166" fontId="0" fillId="4" borderId="0" xfId="1" applyNumberFormat="1" applyFont="1" applyFill="1"/>
    <xf numFmtId="166" fontId="10" fillId="4" borderId="0" xfId="1" applyNumberFormat="1" applyFont="1" applyFill="1"/>
    <xf numFmtId="0" fontId="9" fillId="0" borderId="0" xfId="0" applyFont="1"/>
    <xf numFmtId="166" fontId="2" fillId="0" borderId="7" xfId="1" applyNumberFormat="1" applyFont="1" applyBorder="1"/>
    <xf numFmtId="166" fontId="10" fillId="0" borderId="7" xfId="1" applyNumberFormat="1" applyFont="1" applyBorder="1"/>
    <xf numFmtId="166" fontId="10" fillId="6" borderId="8" xfId="1" applyNumberFormat="1" applyFont="1" applyFill="1" applyBorder="1"/>
    <xf numFmtId="0" fontId="2" fillId="0" borderId="0" xfId="0" applyFont="1" applyAlignment="1"/>
    <xf numFmtId="166" fontId="15" fillId="0" borderId="0" xfId="0" applyNumberFormat="1" applyFont="1"/>
    <xf numFmtId="166" fontId="2" fillId="0" borderId="4" xfId="0" applyNumberFormat="1" applyFont="1" applyBorder="1"/>
    <xf numFmtId="166" fontId="2" fillId="0" borderId="0" xfId="0" applyNumberFormat="1" applyFont="1" applyAlignment="1"/>
    <xf numFmtId="166" fontId="2" fillId="6" borderId="0" xfId="1" applyNumberFormat="1" applyFont="1" applyFill="1"/>
    <xf numFmtId="0" fontId="18" fillId="0" borderId="0" xfId="0" applyFont="1" applyBorder="1" applyAlignment="1">
      <alignment vertical="center" wrapText="1"/>
    </xf>
    <xf numFmtId="0" fontId="18" fillId="0" borderId="0" xfId="0" applyFont="1" applyBorder="1" applyAlignment="1">
      <alignment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wrapText="1"/>
    </xf>
    <xf numFmtId="20" fontId="3" fillId="0" borderId="0" xfId="0" applyNumberFormat="1" applyFont="1"/>
    <xf numFmtId="166" fontId="12" fillId="7" borderId="0" xfId="1" applyNumberFormat="1" applyFont="1" applyFill="1"/>
    <xf numFmtId="0" fontId="2" fillId="4" borderId="0" xfId="0" applyFont="1" applyFill="1"/>
    <xf numFmtId="0" fontId="3" fillId="0" borderId="0" xfId="0" applyFont="1"/>
    <xf numFmtId="168" fontId="3" fillId="0" borderId="0" xfId="0" applyNumberFormat="1" applyFont="1" applyAlignment="1">
      <alignment horizontal="right"/>
    </xf>
    <xf numFmtId="0" fontId="9" fillId="0" borderId="0" xfId="0" applyFont="1" applyAlignment="1">
      <alignment horizontal="center"/>
    </xf>
    <xf numFmtId="14" fontId="0" fillId="0" borderId="0" xfId="0" applyNumberFormat="1"/>
    <xf numFmtId="0" fontId="9" fillId="0" borderId="0" xfId="0" applyFont="1" applyAlignment="1">
      <alignment horizontal="center"/>
    </xf>
    <xf numFmtId="44" fontId="0" fillId="0" borderId="0" xfId="1" applyFont="1"/>
    <xf numFmtId="44" fontId="0" fillId="0" borderId="3" xfId="1" applyFont="1" applyBorder="1"/>
    <xf numFmtId="0" fontId="20" fillId="0" borderId="0" xfId="0" applyFont="1"/>
    <xf numFmtId="0" fontId="21" fillId="0" borderId="0" xfId="0" applyFont="1"/>
    <xf numFmtId="0" fontId="21" fillId="0" borderId="10" xfId="0" applyFont="1" applyBorder="1"/>
    <xf numFmtId="169" fontId="21" fillId="9" borderId="13" xfId="0" applyNumberFormat="1" applyFont="1" applyFill="1" applyBorder="1"/>
    <xf numFmtId="169" fontId="21" fillId="9" borderId="15" xfId="0" applyNumberFormat="1" applyFont="1" applyFill="1" applyBorder="1"/>
    <xf numFmtId="0" fontId="22" fillId="10" borderId="10" xfId="0" applyFont="1" applyFill="1" applyBorder="1"/>
    <xf numFmtId="0" fontId="22" fillId="10" borderId="11" xfId="0" applyFont="1" applyFill="1" applyBorder="1"/>
    <xf numFmtId="0" fontId="22" fillId="10" borderId="12" xfId="0" applyFont="1" applyFill="1" applyBorder="1"/>
    <xf numFmtId="0" fontId="21" fillId="0" borderId="9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0" fillId="0" borderId="0" xfId="0" applyFont="1" applyFill="1" applyBorder="1"/>
    <xf numFmtId="0" fontId="24" fillId="2" borderId="9" xfId="0" applyFont="1" applyFill="1" applyBorder="1"/>
    <xf numFmtId="0" fontId="20" fillId="2" borderId="9" xfId="0" applyFont="1" applyFill="1" applyBorder="1"/>
    <xf numFmtId="0" fontId="24" fillId="0" borderId="0" xfId="0" applyFont="1"/>
    <xf numFmtId="0" fontId="27" fillId="4" borderId="9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164" fontId="28" fillId="4" borderId="9" xfId="0" applyNumberFormat="1" applyFont="1" applyFill="1" applyBorder="1" applyAlignment="1">
      <alignment horizontal="center"/>
    </xf>
    <xf numFmtId="0" fontId="22" fillId="0" borderId="0" xfId="0" applyFont="1" applyFill="1" applyBorder="1"/>
    <xf numFmtId="0" fontId="29" fillId="0" borderId="6" xfId="0" applyFont="1" applyBorder="1"/>
    <xf numFmtId="0" fontId="29" fillId="0" borderId="0" xfId="0" applyFont="1" applyBorder="1"/>
    <xf numFmtId="165" fontId="22" fillId="0" borderId="0" xfId="0" applyNumberFormat="1" applyFont="1" applyFill="1" applyBorder="1"/>
    <xf numFmtId="0" fontId="25" fillId="7" borderId="9" xfId="0" applyFont="1" applyFill="1" applyBorder="1" applyAlignment="1">
      <alignment horizontal="center" vertical="center"/>
    </xf>
    <xf numFmtId="0" fontId="26" fillId="4" borderId="9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166" fontId="16" fillId="0" borderId="0" xfId="1" applyNumberFormat="1" applyFont="1" applyAlignment="1">
      <alignment horizontal="center"/>
    </xf>
    <xf numFmtId="166" fontId="17" fillId="0" borderId="0" xfId="0" applyNumberFormat="1" applyFont="1" applyAlignment="1">
      <alignment horizontal="center"/>
    </xf>
    <xf numFmtId="0" fontId="23" fillId="8" borderId="18" xfId="0" applyFont="1" applyFill="1" applyBorder="1" applyAlignment="1">
      <alignment horizontal="center" vertical="center"/>
    </xf>
    <xf numFmtId="0" fontId="23" fillId="8" borderId="19" xfId="0" applyFont="1" applyFill="1" applyBorder="1" applyAlignment="1">
      <alignment horizontal="center" vertical="center"/>
    </xf>
    <xf numFmtId="0" fontId="23" fillId="8" borderId="20" xfId="0" applyFont="1" applyFill="1" applyBorder="1" applyAlignment="1">
      <alignment horizontal="center" vertical="center"/>
    </xf>
    <xf numFmtId="44" fontId="30" fillId="0" borderId="0" xfId="0" applyNumberFormat="1" applyFont="1"/>
    <xf numFmtId="44" fontId="30" fillId="0" borderId="0" xfId="0" applyNumberFormat="1" applyFont="1" applyBorder="1"/>
    <xf numFmtId="44" fontId="28" fillId="0" borderId="0" xfId="0" applyNumberFormat="1" applyFont="1" applyBorder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activeCell="H17" sqref="H17"/>
    </sheetView>
  </sheetViews>
  <sheetFormatPr defaultRowHeight="18.75" customHeight="1" x14ac:dyDescent="0.25"/>
  <cols>
    <col min="1" max="1" width="24.7109375" customWidth="1"/>
    <col min="2" max="2" width="8.42578125" customWidth="1"/>
    <col min="3" max="3" width="8.5703125" customWidth="1"/>
    <col min="4" max="4" width="24.7109375" customWidth="1"/>
    <col min="5" max="5" width="9.140625" customWidth="1"/>
    <col min="6" max="6" width="11.7109375" customWidth="1"/>
    <col min="7" max="7" width="24.7109375" customWidth="1"/>
    <col min="8" max="8" width="9" customWidth="1"/>
    <col min="257" max="257" width="24.7109375" customWidth="1"/>
    <col min="258" max="258" width="11.28515625" customWidth="1"/>
    <col min="259" max="259" width="8.5703125" customWidth="1"/>
    <col min="260" max="260" width="24.7109375" customWidth="1"/>
    <col min="261" max="261" width="11.85546875" customWidth="1"/>
    <col min="262" max="262" width="11.7109375" customWidth="1"/>
    <col min="263" max="263" width="24.7109375" customWidth="1"/>
    <col min="264" max="264" width="11.42578125" customWidth="1"/>
    <col min="513" max="513" width="24.7109375" customWidth="1"/>
    <col min="514" max="514" width="11.28515625" customWidth="1"/>
    <col min="515" max="515" width="8.5703125" customWidth="1"/>
    <col min="516" max="516" width="24.7109375" customWidth="1"/>
    <col min="517" max="517" width="11.85546875" customWidth="1"/>
    <col min="518" max="518" width="11.7109375" customWidth="1"/>
    <col min="519" max="519" width="24.7109375" customWidth="1"/>
    <col min="520" max="520" width="11.42578125" customWidth="1"/>
    <col min="769" max="769" width="24.7109375" customWidth="1"/>
    <col min="770" max="770" width="11.28515625" customWidth="1"/>
    <col min="771" max="771" width="8.5703125" customWidth="1"/>
    <col min="772" max="772" width="24.7109375" customWidth="1"/>
    <col min="773" max="773" width="11.85546875" customWidth="1"/>
    <col min="774" max="774" width="11.7109375" customWidth="1"/>
    <col min="775" max="775" width="24.7109375" customWidth="1"/>
    <col min="776" max="776" width="11.42578125" customWidth="1"/>
    <col min="1025" max="1025" width="24.7109375" customWidth="1"/>
    <col min="1026" max="1026" width="11.28515625" customWidth="1"/>
    <col min="1027" max="1027" width="8.5703125" customWidth="1"/>
    <col min="1028" max="1028" width="24.7109375" customWidth="1"/>
    <col min="1029" max="1029" width="11.85546875" customWidth="1"/>
    <col min="1030" max="1030" width="11.7109375" customWidth="1"/>
    <col min="1031" max="1031" width="24.7109375" customWidth="1"/>
    <col min="1032" max="1032" width="11.42578125" customWidth="1"/>
    <col min="1281" max="1281" width="24.7109375" customWidth="1"/>
    <col min="1282" max="1282" width="11.28515625" customWidth="1"/>
    <col min="1283" max="1283" width="8.5703125" customWidth="1"/>
    <col min="1284" max="1284" width="24.7109375" customWidth="1"/>
    <col min="1285" max="1285" width="11.85546875" customWidth="1"/>
    <col min="1286" max="1286" width="11.7109375" customWidth="1"/>
    <col min="1287" max="1287" width="24.7109375" customWidth="1"/>
    <col min="1288" max="1288" width="11.42578125" customWidth="1"/>
    <col min="1537" max="1537" width="24.7109375" customWidth="1"/>
    <col min="1538" max="1538" width="11.28515625" customWidth="1"/>
    <col min="1539" max="1539" width="8.5703125" customWidth="1"/>
    <col min="1540" max="1540" width="24.7109375" customWidth="1"/>
    <col min="1541" max="1541" width="11.85546875" customWidth="1"/>
    <col min="1542" max="1542" width="11.7109375" customWidth="1"/>
    <col min="1543" max="1543" width="24.7109375" customWidth="1"/>
    <col min="1544" max="1544" width="11.42578125" customWidth="1"/>
    <col min="1793" max="1793" width="24.7109375" customWidth="1"/>
    <col min="1794" max="1794" width="11.28515625" customWidth="1"/>
    <col min="1795" max="1795" width="8.5703125" customWidth="1"/>
    <col min="1796" max="1796" width="24.7109375" customWidth="1"/>
    <col min="1797" max="1797" width="11.85546875" customWidth="1"/>
    <col min="1798" max="1798" width="11.7109375" customWidth="1"/>
    <col min="1799" max="1799" width="24.7109375" customWidth="1"/>
    <col min="1800" max="1800" width="11.42578125" customWidth="1"/>
    <col min="2049" max="2049" width="24.7109375" customWidth="1"/>
    <col min="2050" max="2050" width="11.28515625" customWidth="1"/>
    <col min="2051" max="2051" width="8.5703125" customWidth="1"/>
    <col min="2052" max="2052" width="24.7109375" customWidth="1"/>
    <col min="2053" max="2053" width="11.85546875" customWidth="1"/>
    <col min="2054" max="2054" width="11.7109375" customWidth="1"/>
    <col min="2055" max="2055" width="24.7109375" customWidth="1"/>
    <col min="2056" max="2056" width="11.42578125" customWidth="1"/>
    <col min="2305" max="2305" width="24.7109375" customWidth="1"/>
    <col min="2306" max="2306" width="11.28515625" customWidth="1"/>
    <col min="2307" max="2307" width="8.5703125" customWidth="1"/>
    <col min="2308" max="2308" width="24.7109375" customWidth="1"/>
    <col min="2309" max="2309" width="11.85546875" customWidth="1"/>
    <col min="2310" max="2310" width="11.7109375" customWidth="1"/>
    <col min="2311" max="2311" width="24.7109375" customWidth="1"/>
    <col min="2312" max="2312" width="11.42578125" customWidth="1"/>
    <col min="2561" max="2561" width="24.7109375" customWidth="1"/>
    <col min="2562" max="2562" width="11.28515625" customWidth="1"/>
    <col min="2563" max="2563" width="8.5703125" customWidth="1"/>
    <col min="2564" max="2564" width="24.7109375" customWidth="1"/>
    <col min="2565" max="2565" width="11.85546875" customWidth="1"/>
    <col min="2566" max="2566" width="11.7109375" customWidth="1"/>
    <col min="2567" max="2567" width="24.7109375" customWidth="1"/>
    <col min="2568" max="2568" width="11.42578125" customWidth="1"/>
    <col min="2817" max="2817" width="24.7109375" customWidth="1"/>
    <col min="2818" max="2818" width="11.28515625" customWidth="1"/>
    <col min="2819" max="2819" width="8.5703125" customWidth="1"/>
    <col min="2820" max="2820" width="24.7109375" customWidth="1"/>
    <col min="2821" max="2821" width="11.85546875" customWidth="1"/>
    <col min="2822" max="2822" width="11.7109375" customWidth="1"/>
    <col min="2823" max="2823" width="24.7109375" customWidth="1"/>
    <col min="2824" max="2824" width="11.42578125" customWidth="1"/>
    <col min="3073" max="3073" width="24.7109375" customWidth="1"/>
    <col min="3074" max="3074" width="11.28515625" customWidth="1"/>
    <col min="3075" max="3075" width="8.5703125" customWidth="1"/>
    <col min="3076" max="3076" width="24.7109375" customWidth="1"/>
    <col min="3077" max="3077" width="11.85546875" customWidth="1"/>
    <col min="3078" max="3078" width="11.7109375" customWidth="1"/>
    <col min="3079" max="3079" width="24.7109375" customWidth="1"/>
    <col min="3080" max="3080" width="11.42578125" customWidth="1"/>
    <col min="3329" max="3329" width="24.7109375" customWidth="1"/>
    <col min="3330" max="3330" width="11.28515625" customWidth="1"/>
    <col min="3331" max="3331" width="8.5703125" customWidth="1"/>
    <col min="3332" max="3332" width="24.7109375" customWidth="1"/>
    <col min="3333" max="3333" width="11.85546875" customWidth="1"/>
    <col min="3334" max="3334" width="11.7109375" customWidth="1"/>
    <col min="3335" max="3335" width="24.7109375" customWidth="1"/>
    <col min="3336" max="3336" width="11.42578125" customWidth="1"/>
    <col min="3585" max="3585" width="24.7109375" customWidth="1"/>
    <col min="3586" max="3586" width="11.28515625" customWidth="1"/>
    <col min="3587" max="3587" width="8.5703125" customWidth="1"/>
    <col min="3588" max="3588" width="24.7109375" customWidth="1"/>
    <col min="3589" max="3589" width="11.85546875" customWidth="1"/>
    <col min="3590" max="3590" width="11.7109375" customWidth="1"/>
    <col min="3591" max="3591" width="24.7109375" customWidth="1"/>
    <col min="3592" max="3592" width="11.42578125" customWidth="1"/>
    <col min="3841" max="3841" width="24.7109375" customWidth="1"/>
    <col min="3842" max="3842" width="11.28515625" customWidth="1"/>
    <col min="3843" max="3843" width="8.5703125" customWidth="1"/>
    <col min="3844" max="3844" width="24.7109375" customWidth="1"/>
    <col min="3845" max="3845" width="11.85546875" customWidth="1"/>
    <col min="3846" max="3846" width="11.7109375" customWidth="1"/>
    <col min="3847" max="3847" width="24.7109375" customWidth="1"/>
    <col min="3848" max="3848" width="11.42578125" customWidth="1"/>
    <col min="4097" max="4097" width="24.7109375" customWidth="1"/>
    <col min="4098" max="4098" width="11.28515625" customWidth="1"/>
    <col min="4099" max="4099" width="8.5703125" customWidth="1"/>
    <col min="4100" max="4100" width="24.7109375" customWidth="1"/>
    <col min="4101" max="4101" width="11.85546875" customWidth="1"/>
    <col min="4102" max="4102" width="11.7109375" customWidth="1"/>
    <col min="4103" max="4103" width="24.7109375" customWidth="1"/>
    <col min="4104" max="4104" width="11.42578125" customWidth="1"/>
    <col min="4353" max="4353" width="24.7109375" customWidth="1"/>
    <col min="4354" max="4354" width="11.28515625" customWidth="1"/>
    <col min="4355" max="4355" width="8.5703125" customWidth="1"/>
    <col min="4356" max="4356" width="24.7109375" customWidth="1"/>
    <col min="4357" max="4357" width="11.85546875" customWidth="1"/>
    <col min="4358" max="4358" width="11.7109375" customWidth="1"/>
    <col min="4359" max="4359" width="24.7109375" customWidth="1"/>
    <col min="4360" max="4360" width="11.42578125" customWidth="1"/>
    <col min="4609" max="4609" width="24.7109375" customWidth="1"/>
    <col min="4610" max="4610" width="11.28515625" customWidth="1"/>
    <col min="4611" max="4611" width="8.5703125" customWidth="1"/>
    <col min="4612" max="4612" width="24.7109375" customWidth="1"/>
    <col min="4613" max="4613" width="11.85546875" customWidth="1"/>
    <col min="4614" max="4614" width="11.7109375" customWidth="1"/>
    <col min="4615" max="4615" width="24.7109375" customWidth="1"/>
    <col min="4616" max="4616" width="11.42578125" customWidth="1"/>
    <col min="4865" max="4865" width="24.7109375" customWidth="1"/>
    <col min="4866" max="4866" width="11.28515625" customWidth="1"/>
    <col min="4867" max="4867" width="8.5703125" customWidth="1"/>
    <col min="4868" max="4868" width="24.7109375" customWidth="1"/>
    <col min="4869" max="4869" width="11.85546875" customWidth="1"/>
    <col min="4870" max="4870" width="11.7109375" customWidth="1"/>
    <col min="4871" max="4871" width="24.7109375" customWidth="1"/>
    <col min="4872" max="4872" width="11.42578125" customWidth="1"/>
    <col min="5121" max="5121" width="24.7109375" customWidth="1"/>
    <col min="5122" max="5122" width="11.28515625" customWidth="1"/>
    <col min="5123" max="5123" width="8.5703125" customWidth="1"/>
    <col min="5124" max="5124" width="24.7109375" customWidth="1"/>
    <col min="5125" max="5125" width="11.85546875" customWidth="1"/>
    <col min="5126" max="5126" width="11.7109375" customWidth="1"/>
    <col min="5127" max="5127" width="24.7109375" customWidth="1"/>
    <col min="5128" max="5128" width="11.42578125" customWidth="1"/>
    <col min="5377" max="5377" width="24.7109375" customWidth="1"/>
    <col min="5378" max="5378" width="11.28515625" customWidth="1"/>
    <col min="5379" max="5379" width="8.5703125" customWidth="1"/>
    <col min="5380" max="5380" width="24.7109375" customWidth="1"/>
    <col min="5381" max="5381" width="11.85546875" customWidth="1"/>
    <col min="5382" max="5382" width="11.7109375" customWidth="1"/>
    <col min="5383" max="5383" width="24.7109375" customWidth="1"/>
    <col min="5384" max="5384" width="11.42578125" customWidth="1"/>
    <col min="5633" max="5633" width="24.7109375" customWidth="1"/>
    <col min="5634" max="5634" width="11.28515625" customWidth="1"/>
    <col min="5635" max="5635" width="8.5703125" customWidth="1"/>
    <col min="5636" max="5636" width="24.7109375" customWidth="1"/>
    <col min="5637" max="5637" width="11.85546875" customWidth="1"/>
    <col min="5638" max="5638" width="11.7109375" customWidth="1"/>
    <col min="5639" max="5639" width="24.7109375" customWidth="1"/>
    <col min="5640" max="5640" width="11.42578125" customWidth="1"/>
    <col min="5889" max="5889" width="24.7109375" customWidth="1"/>
    <col min="5890" max="5890" width="11.28515625" customWidth="1"/>
    <col min="5891" max="5891" width="8.5703125" customWidth="1"/>
    <col min="5892" max="5892" width="24.7109375" customWidth="1"/>
    <col min="5893" max="5893" width="11.85546875" customWidth="1"/>
    <col min="5894" max="5894" width="11.7109375" customWidth="1"/>
    <col min="5895" max="5895" width="24.7109375" customWidth="1"/>
    <col min="5896" max="5896" width="11.42578125" customWidth="1"/>
    <col min="6145" max="6145" width="24.7109375" customWidth="1"/>
    <col min="6146" max="6146" width="11.28515625" customWidth="1"/>
    <col min="6147" max="6147" width="8.5703125" customWidth="1"/>
    <col min="6148" max="6148" width="24.7109375" customWidth="1"/>
    <col min="6149" max="6149" width="11.85546875" customWidth="1"/>
    <col min="6150" max="6150" width="11.7109375" customWidth="1"/>
    <col min="6151" max="6151" width="24.7109375" customWidth="1"/>
    <col min="6152" max="6152" width="11.42578125" customWidth="1"/>
    <col min="6401" max="6401" width="24.7109375" customWidth="1"/>
    <col min="6402" max="6402" width="11.28515625" customWidth="1"/>
    <col min="6403" max="6403" width="8.5703125" customWidth="1"/>
    <col min="6404" max="6404" width="24.7109375" customWidth="1"/>
    <col min="6405" max="6405" width="11.85546875" customWidth="1"/>
    <col min="6406" max="6406" width="11.7109375" customWidth="1"/>
    <col min="6407" max="6407" width="24.7109375" customWidth="1"/>
    <col min="6408" max="6408" width="11.42578125" customWidth="1"/>
    <col min="6657" max="6657" width="24.7109375" customWidth="1"/>
    <col min="6658" max="6658" width="11.28515625" customWidth="1"/>
    <col min="6659" max="6659" width="8.5703125" customWidth="1"/>
    <col min="6660" max="6660" width="24.7109375" customWidth="1"/>
    <col min="6661" max="6661" width="11.85546875" customWidth="1"/>
    <col min="6662" max="6662" width="11.7109375" customWidth="1"/>
    <col min="6663" max="6663" width="24.7109375" customWidth="1"/>
    <col min="6664" max="6664" width="11.42578125" customWidth="1"/>
    <col min="6913" max="6913" width="24.7109375" customWidth="1"/>
    <col min="6914" max="6914" width="11.28515625" customWidth="1"/>
    <col min="6915" max="6915" width="8.5703125" customWidth="1"/>
    <col min="6916" max="6916" width="24.7109375" customWidth="1"/>
    <col min="6917" max="6917" width="11.85546875" customWidth="1"/>
    <col min="6918" max="6918" width="11.7109375" customWidth="1"/>
    <col min="6919" max="6919" width="24.7109375" customWidth="1"/>
    <col min="6920" max="6920" width="11.42578125" customWidth="1"/>
    <col min="7169" max="7169" width="24.7109375" customWidth="1"/>
    <col min="7170" max="7170" width="11.28515625" customWidth="1"/>
    <col min="7171" max="7171" width="8.5703125" customWidth="1"/>
    <col min="7172" max="7172" width="24.7109375" customWidth="1"/>
    <col min="7173" max="7173" width="11.85546875" customWidth="1"/>
    <col min="7174" max="7174" width="11.7109375" customWidth="1"/>
    <col min="7175" max="7175" width="24.7109375" customWidth="1"/>
    <col min="7176" max="7176" width="11.42578125" customWidth="1"/>
    <col min="7425" max="7425" width="24.7109375" customWidth="1"/>
    <col min="7426" max="7426" width="11.28515625" customWidth="1"/>
    <col min="7427" max="7427" width="8.5703125" customWidth="1"/>
    <col min="7428" max="7428" width="24.7109375" customWidth="1"/>
    <col min="7429" max="7429" width="11.85546875" customWidth="1"/>
    <col min="7430" max="7430" width="11.7109375" customWidth="1"/>
    <col min="7431" max="7431" width="24.7109375" customWidth="1"/>
    <col min="7432" max="7432" width="11.42578125" customWidth="1"/>
    <col min="7681" max="7681" width="24.7109375" customWidth="1"/>
    <col min="7682" max="7682" width="11.28515625" customWidth="1"/>
    <col min="7683" max="7683" width="8.5703125" customWidth="1"/>
    <col min="7684" max="7684" width="24.7109375" customWidth="1"/>
    <col min="7685" max="7685" width="11.85546875" customWidth="1"/>
    <col min="7686" max="7686" width="11.7109375" customWidth="1"/>
    <col min="7687" max="7687" width="24.7109375" customWidth="1"/>
    <col min="7688" max="7688" width="11.42578125" customWidth="1"/>
    <col min="7937" max="7937" width="24.7109375" customWidth="1"/>
    <col min="7938" max="7938" width="11.28515625" customWidth="1"/>
    <col min="7939" max="7939" width="8.5703125" customWidth="1"/>
    <col min="7940" max="7940" width="24.7109375" customWidth="1"/>
    <col min="7941" max="7941" width="11.85546875" customWidth="1"/>
    <col min="7942" max="7942" width="11.7109375" customWidth="1"/>
    <col min="7943" max="7943" width="24.7109375" customWidth="1"/>
    <col min="7944" max="7944" width="11.42578125" customWidth="1"/>
    <col min="8193" max="8193" width="24.7109375" customWidth="1"/>
    <col min="8194" max="8194" width="11.28515625" customWidth="1"/>
    <col min="8195" max="8195" width="8.5703125" customWidth="1"/>
    <col min="8196" max="8196" width="24.7109375" customWidth="1"/>
    <col min="8197" max="8197" width="11.85546875" customWidth="1"/>
    <col min="8198" max="8198" width="11.7109375" customWidth="1"/>
    <col min="8199" max="8199" width="24.7109375" customWidth="1"/>
    <col min="8200" max="8200" width="11.42578125" customWidth="1"/>
    <col min="8449" max="8449" width="24.7109375" customWidth="1"/>
    <col min="8450" max="8450" width="11.28515625" customWidth="1"/>
    <col min="8451" max="8451" width="8.5703125" customWidth="1"/>
    <col min="8452" max="8452" width="24.7109375" customWidth="1"/>
    <col min="8453" max="8453" width="11.85546875" customWidth="1"/>
    <col min="8454" max="8454" width="11.7109375" customWidth="1"/>
    <col min="8455" max="8455" width="24.7109375" customWidth="1"/>
    <col min="8456" max="8456" width="11.42578125" customWidth="1"/>
    <col min="8705" max="8705" width="24.7109375" customWidth="1"/>
    <col min="8706" max="8706" width="11.28515625" customWidth="1"/>
    <col min="8707" max="8707" width="8.5703125" customWidth="1"/>
    <col min="8708" max="8708" width="24.7109375" customWidth="1"/>
    <col min="8709" max="8709" width="11.85546875" customWidth="1"/>
    <col min="8710" max="8710" width="11.7109375" customWidth="1"/>
    <col min="8711" max="8711" width="24.7109375" customWidth="1"/>
    <col min="8712" max="8712" width="11.42578125" customWidth="1"/>
    <col min="8961" max="8961" width="24.7109375" customWidth="1"/>
    <col min="8962" max="8962" width="11.28515625" customWidth="1"/>
    <col min="8963" max="8963" width="8.5703125" customWidth="1"/>
    <col min="8964" max="8964" width="24.7109375" customWidth="1"/>
    <col min="8965" max="8965" width="11.85546875" customWidth="1"/>
    <col min="8966" max="8966" width="11.7109375" customWidth="1"/>
    <col min="8967" max="8967" width="24.7109375" customWidth="1"/>
    <col min="8968" max="8968" width="11.42578125" customWidth="1"/>
    <col min="9217" max="9217" width="24.7109375" customWidth="1"/>
    <col min="9218" max="9218" width="11.28515625" customWidth="1"/>
    <col min="9219" max="9219" width="8.5703125" customWidth="1"/>
    <col min="9220" max="9220" width="24.7109375" customWidth="1"/>
    <col min="9221" max="9221" width="11.85546875" customWidth="1"/>
    <col min="9222" max="9222" width="11.7109375" customWidth="1"/>
    <col min="9223" max="9223" width="24.7109375" customWidth="1"/>
    <col min="9224" max="9224" width="11.42578125" customWidth="1"/>
    <col min="9473" max="9473" width="24.7109375" customWidth="1"/>
    <col min="9474" max="9474" width="11.28515625" customWidth="1"/>
    <col min="9475" max="9475" width="8.5703125" customWidth="1"/>
    <col min="9476" max="9476" width="24.7109375" customWidth="1"/>
    <col min="9477" max="9477" width="11.85546875" customWidth="1"/>
    <col min="9478" max="9478" width="11.7109375" customWidth="1"/>
    <col min="9479" max="9479" width="24.7109375" customWidth="1"/>
    <col min="9480" max="9480" width="11.42578125" customWidth="1"/>
    <col min="9729" max="9729" width="24.7109375" customWidth="1"/>
    <col min="9730" max="9730" width="11.28515625" customWidth="1"/>
    <col min="9731" max="9731" width="8.5703125" customWidth="1"/>
    <col min="9732" max="9732" width="24.7109375" customWidth="1"/>
    <col min="9733" max="9733" width="11.85546875" customWidth="1"/>
    <col min="9734" max="9734" width="11.7109375" customWidth="1"/>
    <col min="9735" max="9735" width="24.7109375" customWidth="1"/>
    <col min="9736" max="9736" width="11.42578125" customWidth="1"/>
    <col min="9985" max="9985" width="24.7109375" customWidth="1"/>
    <col min="9986" max="9986" width="11.28515625" customWidth="1"/>
    <col min="9987" max="9987" width="8.5703125" customWidth="1"/>
    <col min="9988" max="9988" width="24.7109375" customWidth="1"/>
    <col min="9989" max="9989" width="11.85546875" customWidth="1"/>
    <col min="9990" max="9990" width="11.7109375" customWidth="1"/>
    <col min="9991" max="9991" width="24.7109375" customWidth="1"/>
    <col min="9992" max="9992" width="11.42578125" customWidth="1"/>
    <col min="10241" max="10241" width="24.7109375" customWidth="1"/>
    <col min="10242" max="10242" width="11.28515625" customWidth="1"/>
    <col min="10243" max="10243" width="8.5703125" customWidth="1"/>
    <col min="10244" max="10244" width="24.7109375" customWidth="1"/>
    <col min="10245" max="10245" width="11.85546875" customWidth="1"/>
    <col min="10246" max="10246" width="11.7109375" customWidth="1"/>
    <col min="10247" max="10247" width="24.7109375" customWidth="1"/>
    <col min="10248" max="10248" width="11.42578125" customWidth="1"/>
    <col min="10497" max="10497" width="24.7109375" customWidth="1"/>
    <col min="10498" max="10498" width="11.28515625" customWidth="1"/>
    <col min="10499" max="10499" width="8.5703125" customWidth="1"/>
    <col min="10500" max="10500" width="24.7109375" customWidth="1"/>
    <col min="10501" max="10501" width="11.85546875" customWidth="1"/>
    <col min="10502" max="10502" width="11.7109375" customWidth="1"/>
    <col min="10503" max="10503" width="24.7109375" customWidth="1"/>
    <col min="10504" max="10504" width="11.42578125" customWidth="1"/>
    <col min="10753" max="10753" width="24.7109375" customWidth="1"/>
    <col min="10754" max="10754" width="11.28515625" customWidth="1"/>
    <col min="10755" max="10755" width="8.5703125" customWidth="1"/>
    <col min="10756" max="10756" width="24.7109375" customWidth="1"/>
    <col min="10757" max="10757" width="11.85546875" customWidth="1"/>
    <col min="10758" max="10758" width="11.7109375" customWidth="1"/>
    <col min="10759" max="10759" width="24.7109375" customWidth="1"/>
    <col min="10760" max="10760" width="11.42578125" customWidth="1"/>
    <col min="11009" max="11009" width="24.7109375" customWidth="1"/>
    <col min="11010" max="11010" width="11.28515625" customWidth="1"/>
    <col min="11011" max="11011" width="8.5703125" customWidth="1"/>
    <col min="11012" max="11012" width="24.7109375" customWidth="1"/>
    <col min="11013" max="11013" width="11.85546875" customWidth="1"/>
    <col min="11014" max="11014" width="11.7109375" customWidth="1"/>
    <col min="11015" max="11015" width="24.7109375" customWidth="1"/>
    <col min="11016" max="11016" width="11.42578125" customWidth="1"/>
    <col min="11265" max="11265" width="24.7109375" customWidth="1"/>
    <col min="11266" max="11266" width="11.28515625" customWidth="1"/>
    <col min="11267" max="11267" width="8.5703125" customWidth="1"/>
    <col min="11268" max="11268" width="24.7109375" customWidth="1"/>
    <col min="11269" max="11269" width="11.85546875" customWidth="1"/>
    <col min="11270" max="11270" width="11.7109375" customWidth="1"/>
    <col min="11271" max="11271" width="24.7109375" customWidth="1"/>
    <col min="11272" max="11272" width="11.42578125" customWidth="1"/>
    <col min="11521" max="11521" width="24.7109375" customWidth="1"/>
    <col min="11522" max="11522" width="11.28515625" customWidth="1"/>
    <col min="11523" max="11523" width="8.5703125" customWidth="1"/>
    <col min="11524" max="11524" width="24.7109375" customWidth="1"/>
    <col min="11525" max="11525" width="11.85546875" customWidth="1"/>
    <col min="11526" max="11526" width="11.7109375" customWidth="1"/>
    <col min="11527" max="11527" width="24.7109375" customWidth="1"/>
    <col min="11528" max="11528" width="11.42578125" customWidth="1"/>
    <col min="11777" max="11777" width="24.7109375" customWidth="1"/>
    <col min="11778" max="11778" width="11.28515625" customWidth="1"/>
    <col min="11779" max="11779" width="8.5703125" customWidth="1"/>
    <col min="11780" max="11780" width="24.7109375" customWidth="1"/>
    <col min="11781" max="11781" width="11.85546875" customWidth="1"/>
    <col min="11782" max="11782" width="11.7109375" customWidth="1"/>
    <col min="11783" max="11783" width="24.7109375" customWidth="1"/>
    <col min="11784" max="11784" width="11.42578125" customWidth="1"/>
    <col min="12033" max="12033" width="24.7109375" customWidth="1"/>
    <col min="12034" max="12034" width="11.28515625" customWidth="1"/>
    <col min="12035" max="12035" width="8.5703125" customWidth="1"/>
    <col min="12036" max="12036" width="24.7109375" customWidth="1"/>
    <col min="12037" max="12037" width="11.85546875" customWidth="1"/>
    <col min="12038" max="12038" width="11.7109375" customWidth="1"/>
    <col min="12039" max="12039" width="24.7109375" customWidth="1"/>
    <col min="12040" max="12040" width="11.42578125" customWidth="1"/>
    <col min="12289" max="12289" width="24.7109375" customWidth="1"/>
    <col min="12290" max="12290" width="11.28515625" customWidth="1"/>
    <col min="12291" max="12291" width="8.5703125" customWidth="1"/>
    <col min="12292" max="12292" width="24.7109375" customWidth="1"/>
    <col min="12293" max="12293" width="11.85546875" customWidth="1"/>
    <col min="12294" max="12294" width="11.7109375" customWidth="1"/>
    <col min="12295" max="12295" width="24.7109375" customWidth="1"/>
    <col min="12296" max="12296" width="11.42578125" customWidth="1"/>
    <col min="12545" max="12545" width="24.7109375" customWidth="1"/>
    <col min="12546" max="12546" width="11.28515625" customWidth="1"/>
    <col min="12547" max="12547" width="8.5703125" customWidth="1"/>
    <col min="12548" max="12548" width="24.7109375" customWidth="1"/>
    <col min="12549" max="12549" width="11.85546875" customWidth="1"/>
    <col min="12550" max="12550" width="11.7109375" customWidth="1"/>
    <col min="12551" max="12551" width="24.7109375" customWidth="1"/>
    <col min="12552" max="12552" width="11.42578125" customWidth="1"/>
    <col min="12801" max="12801" width="24.7109375" customWidth="1"/>
    <col min="12802" max="12802" width="11.28515625" customWidth="1"/>
    <col min="12803" max="12803" width="8.5703125" customWidth="1"/>
    <col min="12804" max="12804" width="24.7109375" customWidth="1"/>
    <col min="12805" max="12805" width="11.85546875" customWidth="1"/>
    <col min="12806" max="12806" width="11.7109375" customWidth="1"/>
    <col min="12807" max="12807" width="24.7109375" customWidth="1"/>
    <col min="12808" max="12808" width="11.42578125" customWidth="1"/>
    <col min="13057" max="13057" width="24.7109375" customWidth="1"/>
    <col min="13058" max="13058" width="11.28515625" customWidth="1"/>
    <col min="13059" max="13059" width="8.5703125" customWidth="1"/>
    <col min="13060" max="13060" width="24.7109375" customWidth="1"/>
    <col min="13061" max="13061" width="11.85546875" customWidth="1"/>
    <col min="13062" max="13062" width="11.7109375" customWidth="1"/>
    <col min="13063" max="13063" width="24.7109375" customWidth="1"/>
    <col min="13064" max="13064" width="11.42578125" customWidth="1"/>
    <col min="13313" max="13313" width="24.7109375" customWidth="1"/>
    <col min="13314" max="13314" width="11.28515625" customWidth="1"/>
    <col min="13315" max="13315" width="8.5703125" customWidth="1"/>
    <col min="13316" max="13316" width="24.7109375" customWidth="1"/>
    <col min="13317" max="13317" width="11.85546875" customWidth="1"/>
    <col min="13318" max="13318" width="11.7109375" customWidth="1"/>
    <col min="13319" max="13319" width="24.7109375" customWidth="1"/>
    <col min="13320" max="13320" width="11.42578125" customWidth="1"/>
    <col min="13569" max="13569" width="24.7109375" customWidth="1"/>
    <col min="13570" max="13570" width="11.28515625" customWidth="1"/>
    <col min="13571" max="13571" width="8.5703125" customWidth="1"/>
    <col min="13572" max="13572" width="24.7109375" customWidth="1"/>
    <col min="13573" max="13573" width="11.85546875" customWidth="1"/>
    <col min="13574" max="13574" width="11.7109375" customWidth="1"/>
    <col min="13575" max="13575" width="24.7109375" customWidth="1"/>
    <col min="13576" max="13576" width="11.42578125" customWidth="1"/>
    <col min="13825" max="13825" width="24.7109375" customWidth="1"/>
    <col min="13826" max="13826" width="11.28515625" customWidth="1"/>
    <col min="13827" max="13827" width="8.5703125" customWidth="1"/>
    <col min="13828" max="13828" width="24.7109375" customWidth="1"/>
    <col min="13829" max="13829" width="11.85546875" customWidth="1"/>
    <col min="13830" max="13830" width="11.7109375" customWidth="1"/>
    <col min="13831" max="13831" width="24.7109375" customWidth="1"/>
    <col min="13832" max="13832" width="11.42578125" customWidth="1"/>
    <col min="14081" max="14081" width="24.7109375" customWidth="1"/>
    <col min="14082" max="14082" width="11.28515625" customWidth="1"/>
    <col min="14083" max="14083" width="8.5703125" customWidth="1"/>
    <col min="14084" max="14084" width="24.7109375" customWidth="1"/>
    <col min="14085" max="14085" width="11.85546875" customWidth="1"/>
    <col min="14086" max="14086" width="11.7109375" customWidth="1"/>
    <col min="14087" max="14087" width="24.7109375" customWidth="1"/>
    <col min="14088" max="14088" width="11.42578125" customWidth="1"/>
    <col min="14337" max="14337" width="24.7109375" customWidth="1"/>
    <col min="14338" max="14338" width="11.28515625" customWidth="1"/>
    <col min="14339" max="14339" width="8.5703125" customWidth="1"/>
    <col min="14340" max="14340" width="24.7109375" customWidth="1"/>
    <col min="14341" max="14341" width="11.85546875" customWidth="1"/>
    <col min="14342" max="14342" width="11.7109375" customWidth="1"/>
    <col min="14343" max="14343" width="24.7109375" customWidth="1"/>
    <col min="14344" max="14344" width="11.42578125" customWidth="1"/>
    <col min="14593" max="14593" width="24.7109375" customWidth="1"/>
    <col min="14594" max="14594" width="11.28515625" customWidth="1"/>
    <col min="14595" max="14595" width="8.5703125" customWidth="1"/>
    <col min="14596" max="14596" width="24.7109375" customWidth="1"/>
    <col min="14597" max="14597" width="11.85546875" customWidth="1"/>
    <col min="14598" max="14598" width="11.7109375" customWidth="1"/>
    <col min="14599" max="14599" width="24.7109375" customWidth="1"/>
    <col min="14600" max="14600" width="11.42578125" customWidth="1"/>
    <col min="14849" max="14849" width="24.7109375" customWidth="1"/>
    <col min="14850" max="14850" width="11.28515625" customWidth="1"/>
    <col min="14851" max="14851" width="8.5703125" customWidth="1"/>
    <col min="14852" max="14852" width="24.7109375" customWidth="1"/>
    <col min="14853" max="14853" width="11.85546875" customWidth="1"/>
    <col min="14854" max="14854" width="11.7109375" customWidth="1"/>
    <col min="14855" max="14855" width="24.7109375" customWidth="1"/>
    <col min="14856" max="14856" width="11.42578125" customWidth="1"/>
    <col min="15105" max="15105" width="24.7109375" customWidth="1"/>
    <col min="15106" max="15106" width="11.28515625" customWidth="1"/>
    <col min="15107" max="15107" width="8.5703125" customWidth="1"/>
    <col min="15108" max="15108" width="24.7109375" customWidth="1"/>
    <col min="15109" max="15109" width="11.85546875" customWidth="1"/>
    <col min="15110" max="15110" width="11.7109375" customWidth="1"/>
    <col min="15111" max="15111" width="24.7109375" customWidth="1"/>
    <col min="15112" max="15112" width="11.42578125" customWidth="1"/>
    <col min="15361" max="15361" width="24.7109375" customWidth="1"/>
    <col min="15362" max="15362" width="11.28515625" customWidth="1"/>
    <col min="15363" max="15363" width="8.5703125" customWidth="1"/>
    <col min="15364" max="15364" width="24.7109375" customWidth="1"/>
    <col min="15365" max="15365" width="11.85546875" customWidth="1"/>
    <col min="15366" max="15366" width="11.7109375" customWidth="1"/>
    <col min="15367" max="15367" width="24.7109375" customWidth="1"/>
    <col min="15368" max="15368" width="11.42578125" customWidth="1"/>
    <col min="15617" max="15617" width="24.7109375" customWidth="1"/>
    <col min="15618" max="15618" width="11.28515625" customWidth="1"/>
    <col min="15619" max="15619" width="8.5703125" customWidth="1"/>
    <col min="15620" max="15620" width="24.7109375" customWidth="1"/>
    <col min="15621" max="15621" width="11.85546875" customWidth="1"/>
    <col min="15622" max="15622" width="11.7109375" customWidth="1"/>
    <col min="15623" max="15623" width="24.7109375" customWidth="1"/>
    <col min="15624" max="15624" width="11.42578125" customWidth="1"/>
    <col min="15873" max="15873" width="24.7109375" customWidth="1"/>
    <col min="15874" max="15874" width="11.28515625" customWidth="1"/>
    <col min="15875" max="15875" width="8.5703125" customWidth="1"/>
    <col min="15876" max="15876" width="24.7109375" customWidth="1"/>
    <col min="15877" max="15877" width="11.85546875" customWidth="1"/>
    <col min="15878" max="15878" width="11.7109375" customWidth="1"/>
    <col min="15879" max="15879" width="24.7109375" customWidth="1"/>
    <col min="15880" max="15880" width="11.42578125" customWidth="1"/>
    <col min="16129" max="16129" width="24.7109375" customWidth="1"/>
    <col min="16130" max="16130" width="11.28515625" customWidth="1"/>
    <col min="16131" max="16131" width="8.5703125" customWidth="1"/>
    <col min="16132" max="16132" width="24.7109375" customWidth="1"/>
    <col min="16133" max="16133" width="11.85546875" customWidth="1"/>
    <col min="16134" max="16134" width="11.7109375" customWidth="1"/>
    <col min="16135" max="16135" width="24.7109375" customWidth="1"/>
    <col min="16136" max="16136" width="11.42578125" customWidth="1"/>
  </cols>
  <sheetData>
    <row r="1" spans="1:8" ht="15.75" x14ac:dyDescent="0.25">
      <c r="A1" s="24" t="s">
        <v>132</v>
      </c>
      <c r="B1" s="25"/>
      <c r="C1" s="25"/>
      <c r="D1" s="24" t="s">
        <v>132</v>
      </c>
      <c r="E1" s="25"/>
      <c r="F1" s="25"/>
      <c r="G1" s="24" t="s">
        <v>132</v>
      </c>
    </row>
    <row r="2" spans="1:8" ht="15" x14ac:dyDescent="0.25">
      <c r="A2" s="9" t="s">
        <v>2</v>
      </c>
      <c r="D2" s="9" t="s">
        <v>2</v>
      </c>
      <c r="G2" s="9" t="s">
        <v>2</v>
      </c>
    </row>
    <row r="3" spans="1:8" ht="15" x14ac:dyDescent="0.25">
      <c r="A3" s="5"/>
      <c r="D3" s="5"/>
      <c r="G3" s="5"/>
    </row>
    <row r="4" spans="1:8" ht="15" x14ac:dyDescent="0.25">
      <c r="A4" s="5" t="s">
        <v>133</v>
      </c>
      <c r="B4" s="9"/>
      <c r="D4" s="5" t="s">
        <v>133</v>
      </c>
      <c r="E4" s="9"/>
      <c r="G4" s="5" t="s">
        <v>133</v>
      </c>
      <c r="H4" s="9"/>
    </row>
    <row r="5" spans="1:8" ht="15" x14ac:dyDescent="0.25">
      <c r="A5" s="6" t="s">
        <v>134</v>
      </c>
      <c r="B5" s="26"/>
      <c r="D5" s="6" t="s">
        <v>134</v>
      </c>
      <c r="E5" s="26"/>
      <c r="G5" s="6" t="s">
        <v>134</v>
      </c>
      <c r="H5" s="26"/>
    </row>
    <row r="6" spans="1:8" ht="15" x14ac:dyDescent="0.25">
      <c r="A6" s="15" t="s">
        <v>135</v>
      </c>
      <c r="B6" s="9"/>
      <c r="C6" s="5"/>
      <c r="D6" s="15" t="s">
        <v>135</v>
      </c>
      <c r="E6" s="9"/>
      <c r="F6" s="5"/>
      <c r="G6" s="15" t="s">
        <v>135</v>
      </c>
      <c r="H6" s="9"/>
    </row>
    <row r="7" spans="1:8" ht="15" x14ac:dyDescent="0.25">
      <c r="A7" s="15" t="s">
        <v>136</v>
      </c>
      <c r="B7" s="9"/>
      <c r="C7" s="5"/>
      <c r="D7" s="15" t="s">
        <v>136</v>
      </c>
      <c r="E7" s="9"/>
      <c r="F7" s="5"/>
      <c r="G7" s="15" t="s">
        <v>136</v>
      </c>
      <c r="H7" s="9"/>
    </row>
    <row r="8" spans="1:8" ht="15" x14ac:dyDescent="0.25">
      <c r="A8" s="15" t="s">
        <v>137</v>
      </c>
      <c r="B8" s="9"/>
      <c r="C8" s="5"/>
      <c r="D8" s="15" t="s">
        <v>137</v>
      </c>
      <c r="E8" s="9"/>
      <c r="F8" s="5"/>
      <c r="G8" s="15" t="s">
        <v>137</v>
      </c>
      <c r="H8" s="9"/>
    </row>
    <row r="9" spans="1:8" ht="15" x14ac:dyDescent="0.25">
      <c r="A9" s="15" t="s">
        <v>138</v>
      </c>
      <c r="B9" s="9"/>
      <c r="C9" s="5"/>
      <c r="D9" s="15" t="s">
        <v>138</v>
      </c>
      <c r="E9" s="9"/>
      <c r="F9" s="5"/>
      <c r="G9" s="15" t="s">
        <v>138</v>
      </c>
      <c r="H9" s="9"/>
    </row>
    <row r="10" spans="1:8" ht="15" x14ac:dyDescent="0.25">
      <c r="A10" s="15" t="s">
        <v>139</v>
      </c>
      <c r="B10" s="9"/>
      <c r="C10" s="5"/>
      <c r="D10" s="15" t="s">
        <v>139</v>
      </c>
      <c r="E10" s="9"/>
      <c r="F10" s="5"/>
      <c r="G10" s="15" t="s">
        <v>139</v>
      </c>
      <c r="H10" s="9"/>
    </row>
    <row r="11" spans="1:8" ht="15" x14ac:dyDescent="0.25">
      <c r="A11" s="15" t="s">
        <v>140</v>
      </c>
      <c r="B11" s="9"/>
      <c r="C11" s="5"/>
      <c r="D11" s="15" t="s">
        <v>140</v>
      </c>
      <c r="E11" s="9"/>
      <c r="F11" s="5"/>
      <c r="G11" s="15" t="s">
        <v>140</v>
      </c>
      <c r="H11" s="9"/>
    </row>
    <row r="12" spans="1:8" ht="15" x14ac:dyDescent="0.25">
      <c r="A12" s="15" t="s">
        <v>141</v>
      </c>
      <c r="B12" s="9"/>
      <c r="C12" s="5"/>
      <c r="D12" s="15" t="s">
        <v>141</v>
      </c>
      <c r="E12" s="9"/>
      <c r="F12" s="5"/>
      <c r="G12" s="15" t="s">
        <v>141</v>
      </c>
      <c r="H12" s="9"/>
    </row>
    <row r="13" spans="1:8" ht="15" x14ac:dyDescent="0.25">
      <c r="A13" s="15" t="s">
        <v>142</v>
      </c>
      <c r="B13" s="9"/>
      <c r="C13" s="5"/>
      <c r="D13" s="15" t="s">
        <v>142</v>
      </c>
      <c r="E13" s="9"/>
      <c r="F13" s="5"/>
      <c r="G13" s="15" t="s">
        <v>142</v>
      </c>
      <c r="H13" s="9"/>
    </row>
    <row r="14" spans="1:8" ht="15" x14ac:dyDescent="0.25">
      <c r="A14" s="15" t="s">
        <v>143</v>
      </c>
      <c r="B14" s="9"/>
      <c r="C14" s="5"/>
      <c r="D14" s="15" t="s">
        <v>143</v>
      </c>
      <c r="E14" s="9"/>
      <c r="F14" s="5"/>
      <c r="G14" s="15" t="s">
        <v>143</v>
      </c>
      <c r="H14" s="9"/>
    </row>
    <row r="15" spans="1:8" ht="15" x14ac:dyDescent="0.25">
      <c r="A15" s="15" t="s">
        <v>144</v>
      </c>
      <c r="B15" s="9"/>
      <c r="C15" s="5"/>
      <c r="D15" s="15" t="s">
        <v>144</v>
      </c>
      <c r="E15" s="9"/>
      <c r="F15" s="5"/>
      <c r="G15" s="15" t="s">
        <v>144</v>
      </c>
      <c r="H15" s="9"/>
    </row>
    <row r="16" spans="1:8" ht="15" x14ac:dyDescent="0.25">
      <c r="A16" s="15" t="s">
        <v>145</v>
      </c>
      <c r="B16" s="9"/>
      <c r="C16" s="5"/>
      <c r="D16" s="15" t="s">
        <v>145</v>
      </c>
      <c r="E16" s="9"/>
      <c r="F16" s="5"/>
      <c r="G16" s="15" t="s">
        <v>145</v>
      </c>
      <c r="H16" s="9"/>
    </row>
    <row r="17" spans="1:8" ht="15" x14ac:dyDescent="0.25">
      <c r="A17" s="15" t="s">
        <v>146</v>
      </c>
      <c r="B17" s="9"/>
      <c r="C17" s="5"/>
      <c r="D17" s="15" t="s">
        <v>146</v>
      </c>
      <c r="E17" s="9"/>
      <c r="F17" s="5"/>
      <c r="G17" s="15" t="s">
        <v>146</v>
      </c>
      <c r="H17" s="9"/>
    </row>
    <row r="18" spans="1:8" ht="15" hidden="1" x14ac:dyDescent="0.25">
      <c r="A18" s="15" t="s">
        <v>147</v>
      </c>
      <c r="B18" s="9"/>
      <c r="C18" s="5"/>
      <c r="D18" s="15" t="s">
        <v>147</v>
      </c>
      <c r="E18" s="9"/>
      <c r="F18" s="5"/>
      <c r="G18" s="15" t="s">
        <v>147</v>
      </c>
      <c r="H18" s="9"/>
    </row>
    <row r="19" spans="1:8" ht="15" hidden="1" x14ac:dyDescent="0.25">
      <c r="A19" s="15" t="s">
        <v>147</v>
      </c>
      <c r="B19" s="9"/>
      <c r="C19" s="5"/>
      <c r="D19" s="15" t="s">
        <v>147</v>
      </c>
      <c r="E19" s="9"/>
      <c r="F19" s="5"/>
      <c r="G19" s="15" t="s">
        <v>147</v>
      </c>
      <c r="H19" s="9"/>
    </row>
    <row r="20" spans="1:8" ht="15" hidden="1" x14ac:dyDescent="0.25">
      <c r="A20" s="15" t="s">
        <v>147</v>
      </c>
      <c r="B20" s="9"/>
      <c r="C20" s="5"/>
      <c r="D20" s="15" t="s">
        <v>147</v>
      </c>
      <c r="E20" s="9"/>
      <c r="F20" s="5"/>
      <c r="G20" s="15" t="s">
        <v>147</v>
      </c>
      <c r="H20" s="9"/>
    </row>
    <row r="21" spans="1:8" ht="15" hidden="1" x14ac:dyDescent="0.25">
      <c r="A21" s="15" t="s">
        <v>50</v>
      </c>
      <c r="B21" s="9"/>
      <c r="C21" s="5"/>
      <c r="D21" s="15" t="s">
        <v>50</v>
      </c>
      <c r="E21" s="9"/>
      <c r="F21" s="5"/>
      <c r="G21" s="15" t="s">
        <v>50</v>
      </c>
      <c r="H21" s="9"/>
    </row>
    <row r="22" spans="1:8" ht="15" x14ac:dyDescent="0.25">
      <c r="A22" s="15" t="s">
        <v>114</v>
      </c>
      <c r="B22" s="9"/>
      <c r="C22" s="5"/>
      <c r="D22" s="15" t="s">
        <v>114</v>
      </c>
      <c r="E22" s="9"/>
      <c r="F22" s="5"/>
      <c r="G22" s="15" t="s">
        <v>114</v>
      </c>
      <c r="H22" s="9"/>
    </row>
    <row r="23" spans="1:8" ht="15" x14ac:dyDescent="0.25">
      <c r="A23" s="15"/>
      <c r="B23" s="9"/>
      <c r="C23" s="5"/>
      <c r="D23" s="15"/>
      <c r="E23" s="9"/>
      <c r="F23" s="5"/>
      <c r="G23" s="15"/>
      <c r="H23" s="9"/>
    </row>
    <row r="24" spans="1:8" ht="15" x14ac:dyDescent="0.25">
      <c r="A24" s="15" t="s">
        <v>21</v>
      </c>
      <c r="B24" s="9"/>
      <c r="C24" s="5"/>
      <c r="D24" s="15" t="s">
        <v>21</v>
      </c>
      <c r="E24" s="9"/>
      <c r="F24" s="5"/>
      <c r="G24" s="15" t="s">
        <v>21</v>
      </c>
      <c r="H24" s="9"/>
    </row>
    <row r="25" spans="1:8" ht="15" x14ac:dyDescent="0.25"/>
    <row r="26" spans="1:8" ht="15" x14ac:dyDescent="0.25">
      <c r="A26" s="15"/>
      <c r="B26" s="5"/>
      <c r="D26" s="15"/>
      <c r="E26" s="27"/>
      <c r="G26" s="15"/>
      <c r="H26" s="5"/>
    </row>
    <row r="27" spans="1:8" ht="15" x14ac:dyDescent="0.25">
      <c r="A27" s="15"/>
      <c r="B27" s="27"/>
      <c r="D27" s="15"/>
      <c r="E27" s="27"/>
      <c r="G27" s="15"/>
      <c r="H27" s="5"/>
    </row>
    <row r="28" spans="1:8" ht="15" x14ac:dyDescent="0.25">
      <c r="B28" s="5"/>
      <c r="E28" s="5"/>
      <c r="H28" s="5"/>
    </row>
    <row r="29" spans="1:8" ht="15" x14ac:dyDescent="0.25">
      <c r="H29" s="5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zoomScaleNormal="100" workbookViewId="0">
      <selection sqref="A1:M1"/>
    </sheetView>
  </sheetViews>
  <sheetFormatPr defaultColWidth="8.85546875" defaultRowHeight="15" x14ac:dyDescent="0.25"/>
  <cols>
    <col min="1" max="1" width="15.5703125" style="97" bestFit="1" customWidth="1"/>
    <col min="2" max="2" width="11.5703125" style="80" bestFit="1" customWidth="1"/>
    <col min="3" max="3" width="11.85546875" style="80" bestFit="1" customWidth="1"/>
    <col min="4" max="4" width="11.7109375" style="80" bestFit="1" customWidth="1"/>
    <col min="5" max="5" width="11.85546875" style="80" bestFit="1" customWidth="1"/>
    <col min="6" max="7" width="12.28515625" style="80" bestFit="1" customWidth="1"/>
    <col min="8" max="9" width="14.28515625" style="80" customWidth="1"/>
    <col min="10" max="10" width="13.42578125" style="80" customWidth="1"/>
    <col min="11" max="12" width="12.28515625" style="80" bestFit="1" customWidth="1"/>
    <col min="13" max="13" width="15.7109375" style="80" bestFit="1" customWidth="1"/>
    <col min="14" max="14" width="11.140625" style="94" bestFit="1" customWidth="1"/>
    <col min="15" max="16384" width="8.85546875" style="94"/>
  </cols>
  <sheetData>
    <row r="1" spans="1:14" ht="32.25" customHeight="1" x14ac:dyDescent="0.25">
      <c r="A1" s="105" t="s">
        <v>193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</row>
    <row r="2" spans="1:14" ht="12" customHeight="1" x14ac:dyDescent="0.25">
      <c r="A2" s="95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4" s="99" customFormat="1" ht="18.75" x14ac:dyDescent="0.3">
      <c r="A3" s="106" t="s">
        <v>150</v>
      </c>
      <c r="B3" s="98" t="s">
        <v>55</v>
      </c>
      <c r="C3" s="98" t="s">
        <v>56</v>
      </c>
      <c r="D3" s="98" t="s">
        <v>57</v>
      </c>
      <c r="E3" s="98" t="s">
        <v>52</v>
      </c>
      <c r="F3" s="98" t="s">
        <v>58</v>
      </c>
      <c r="G3" s="98" t="s">
        <v>53</v>
      </c>
      <c r="H3" s="98" t="s">
        <v>54</v>
      </c>
      <c r="I3" s="98" t="s">
        <v>55</v>
      </c>
      <c r="J3" s="98" t="s">
        <v>56</v>
      </c>
      <c r="K3" s="98" t="s">
        <v>57</v>
      </c>
      <c r="L3" s="98" t="s">
        <v>52</v>
      </c>
      <c r="M3" s="98" t="s">
        <v>58</v>
      </c>
    </row>
    <row r="4" spans="1:14" s="101" customFormat="1" ht="18.75" x14ac:dyDescent="0.3">
      <c r="A4" s="106"/>
      <c r="B4" s="100">
        <v>44531</v>
      </c>
      <c r="C4" s="100">
        <v>44532</v>
      </c>
      <c r="D4" s="100">
        <v>44533</v>
      </c>
      <c r="E4" s="100">
        <v>44534</v>
      </c>
      <c r="F4" s="100">
        <v>44535</v>
      </c>
      <c r="G4" s="100">
        <v>44536</v>
      </c>
      <c r="H4" s="100">
        <v>44537</v>
      </c>
      <c r="I4" s="100">
        <v>44538</v>
      </c>
      <c r="J4" s="100">
        <v>44539</v>
      </c>
      <c r="K4" s="100">
        <v>44540</v>
      </c>
      <c r="L4" s="100">
        <v>44541</v>
      </c>
      <c r="M4" s="100">
        <v>44542</v>
      </c>
    </row>
    <row r="5" spans="1:14" s="101" customFormat="1" ht="18.75" x14ac:dyDescent="0.3">
      <c r="A5" s="102" t="s">
        <v>49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</row>
    <row r="6" spans="1:14" s="101" customFormat="1" ht="18.75" x14ac:dyDescent="0.3">
      <c r="A6" s="103" t="s">
        <v>191</v>
      </c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</row>
    <row r="7" spans="1:14" s="101" customFormat="1" ht="18.75" x14ac:dyDescent="0.3">
      <c r="A7" s="102" t="s">
        <v>119</v>
      </c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</row>
    <row r="8" spans="1:14" s="101" customFormat="1" ht="18.75" x14ac:dyDescent="0.3">
      <c r="A8" s="103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04"/>
    </row>
  </sheetData>
  <mergeCells count="2">
    <mergeCell ref="A1:M1"/>
    <mergeCell ref="A3:A4"/>
  </mergeCells>
  <pageMargins left="0.5" right="0.5" top="1" bottom="1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K89"/>
  <sheetViews>
    <sheetView topLeftCell="A28" zoomScaleNormal="100" workbookViewId="0">
      <selection activeCell="L89" sqref="L89"/>
    </sheetView>
  </sheetViews>
  <sheetFormatPr defaultRowHeight="15" x14ac:dyDescent="0.25"/>
  <cols>
    <col min="1" max="1" width="1.28515625" customWidth="1"/>
    <col min="2" max="2" width="12.7109375" customWidth="1"/>
    <col min="3" max="3" width="1" customWidth="1"/>
    <col min="4" max="4" width="8.7109375" customWidth="1"/>
    <col min="5" max="5" width="1" customWidth="1"/>
    <col min="6" max="6" width="8.28515625" customWidth="1"/>
    <col min="7" max="7" width="1.140625" customWidth="1"/>
    <col min="8" max="8" width="8.5703125" bestFit="1" customWidth="1"/>
    <col min="9" max="9" width="1.140625" customWidth="1"/>
    <col min="10" max="10" width="10.5703125" customWidth="1"/>
    <col min="11" max="11" width="1.85546875" customWidth="1"/>
    <col min="12" max="12" width="8.42578125" customWidth="1"/>
    <col min="13" max="13" width="1" customWidth="1"/>
    <col min="14" max="14" width="8.28515625" customWidth="1"/>
    <col min="15" max="15" width="1.140625" customWidth="1"/>
    <col min="16" max="16" width="8.85546875" customWidth="1"/>
    <col min="17" max="17" width="9" customWidth="1"/>
    <col min="18" max="18" width="9.28515625" customWidth="1"/>
    <col min="19" max="19" width="1.42578125" customWidth="1"/>
    <col min="20" max="20" width="9.85546875" customWidth="1"/>
    <col min="21" max="21" width="1.140625" customWidth="1"/>
    <col min="22" max="22" width="9.5703125" customWidth="1"/>
    <col min="23" max="23" width="1.7109375" customWidth="1"/>
    <col min="24" max="24" width="9.7109375" customWidth="1"/>
    <col min="25" max="25" width="1.28515625" customWidth="1"/>
    <col min="26" max="26" width="10.140625" bestFit="1" customWidth="1"/>
    <col min="27" max="27" width="0.85546875" customWidth="1"/>
    <col min="28" max="28" width="9" bestFit="1" customWidth="1"/>
    <col min="29" max="29" width="1.140625" customWidth="1"/>
    <col min="30" max="30" width="9" bestFit="1" customWidth="1"/>
    <col min="31" max="31" width="1.28515625" customWidth="1"/>
    <col min="33" max="33" width="1.140625" customWidth="1"/>
    <col min="34" max="34" width="9" bestFit="1" customWidth="1"/>
    <col min="35" max="35" width="1.28515625" customWidth="1"/>
    <col min="36" max="36" width="10.42578125" bestFit="1" customWidth="1"/>
  </cols>
  <sheetData>
    <row r="1" spans="2:26" x14ac:dyDescent="0.25">
      <c r="B1" s="2" t="s">
        <v>100</v>
      </c>
    </row>
    <row r="2" spans="2:26" x14ac:dyDescent="0.25">
      <c r="B2" s="74" t="s">
        <v>46</v>
      </c>
      <c r="D2" s="2" t="s">
        <v>101</v>
      </c>
      <c r="E2" s="2"/>
      <c r="G2" s="2"/>
      <c r="H2" s="2" t="s">
        <v>167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2:26" x14ac:dyDescent="0.25">
      <c r="B3" s="76">
        <v>43796</v>
      </c>
    </row>
    <row r="4" spans="2:26" x14ac:dyDescent="0.25">
      <c r="D4" s="107" t="s">
        <v>155</v>
      </c>
      <c r="E4" s="107"/>
      <c r="F4" s="107"/>
      <c r="G4" s="107"/>
      <c r="H4" s="107"/>
      <c r="L4" s="107" t="s">
        <v>156</v>
      </c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</row>
    <row r="5" spans="2:26" x14ac:dyDescent="0.25">
      <c r="B5" s="35" t="s">
        <v>102</v>
      </c>
      <c r="C5" s="35"/>
      <c r="D5" s="35" t="s">
        <v>3</v>
      </c>
      <c r="E5" s="35"/>
      <c r="F5" s="35" t="s">
        <v>4</v>
      </c>
      <c r="G5" s="35"/>
      <c r="H5" s="35" t="s">
        <v>5</v>
      </c>
      <c r="I5" s="35"/>
      <c r="J5" s="35"/>
      <c r="K5" s="35"/>
      <c r="L5" s="35" t="s">
        <v>103</v>
      </c>
      <c r="M5" s="35"/>
      <c r="N5" s="35" t="s">
        <v>104</v>
      </c>
      <c r="O5" s="35"/>
      <c r="P5" s="35" t="s">
        <v>105</v>
      </c>
      <c r="Q5" s="35"/>
      <c r="R5" s="35" t="s">
        <v>106</v>
      </c>
      <c r="S5" s="35"/>
      <c r="T5" s="35" t="s">
        <v>107</v>
      </c>
      <c r="U5" s="35"/>
      <c r="V5" s="35" t="s">
        <v>11</v>
      </c>
      <c r="W5" s="35"/>
      <c r="X5" s="35" t="s">
        <v>108</v>
      </c>
      <c r="Y5" s="35"/>
      <c r="Z5" s="35" t="s">
        <v>10</v>
      </c>
    </row>
    <row r="6" spans="2:26" x14ac:dyDescent="0.25">
      <c r="B6" s="70"/>
      <c r="C6" s="73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2:26" x14ac:dyDescent="0.25">
      <c r="B7" s="70"/>
      <c r="C7" s="70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2:26" x14ac:dyDescent="0.25">
      <c r="B8" s="70"/>
      <c r="C8" s="73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2:26" x14ac:dyDescent="0.25">
      <c r="B9" s="70"/>
      <c r="C9" s="73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2:26" x14ac:dyDescent="0.25">
      <c r="B10" s="70"/>
      <c r="C10" s="73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2:26" x14ac:dyDescent="0.25">
      <c r="B11" s="73"/>
      <c r="C11" s="73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2:26" x14ac:dyDescent="0.25">
      <c r="B12" s="73"/>
      <c r="C12" s="73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2:26" x14ac:dyDescent="0.25">
      <c r="B13" s="73"/>
      <c r="C13" s="73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2:26" x14ac:dyDescent="0.25">
      <c r="B14" s="73"/>
      <c r="C14" s="73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2:26" x14ac:dyDescent="0.25">
      <c r="B15" s="73"/>
      <c r="C15" s="73"/>
      <c r="D15" s="47"/>
      <c r="E15" s="29"/>
      <c r="F15" s="47"/>
      <c r="G15" s="29"/>
      <c r="H15" s="47"/>
      <c r="I15" s="29"/>
      <c r="J15" s="29"/>
      <c r="K15" s="29"/>
      <c r="L15" s="47"/>
      <c r="M15" s="29"/>
      <c r="N15" s="47"/>
      <c r="O15" s="29"/>
      <c r="P15" s="47"/>
      <c r="Q15" s="29"/>
      <c r="R15" s="47"/>
      <c r="S15" s="29"/>
      <c r="T15" s="47"/>
      <c r="U15" s="29"/>
      <c r="V15" s="47"/>
      <c r="W15" s="47"/>
      <c r="X15" s="47"/>
      <c r="Y15" s="29"/>
      <c r="Z15" s="47"/>
    </row>
    <row r="16" spans="2:26" s="2" customFormat="1" x14ac:dyDescent="0.25">
      <c r="B16" s="2" t="s">
        <v>109</v>
      </c>
      <c r="D16" s="48">
        <v>0</v>
      </c>
      <c r="E16" s="48"/>
      <c r="F16" s="48">
        <v>0</v>
      </c>
      <c r="G16" s="48"/>
      <c r="H16" s="48">
        <v>0</v>
      </c>
      <c r="I16" s="48"/>
      <c r="J16" s="48"/>
      <c r="K16" s="48"/>
      <c r="L16" s="48">
        <f>SUM(L6:L15)</f>
        <v>0</v>
      </c>
      <c r="M16" s="48"/>
      <c r="N16" s="48">
        <f>SUM(N6:N15)</f>
        <v>0</v>
      </c>
      <c r="O16" s="48"/>
      <c r="P16" s="48">
        <f>SUM(P6:P15)</f>
        <v>0</v>
      </c>
      <c r="Q16" s="48"/>
      <c r="R16" s="48">
        <f>SUM(R6:R15)</f>
        <v>0</v>
      </c>
      <c r="S16" s="48"/>
      <c r="T16" s="48">
        <f>SUM(T6:T15)</f>
        <v>0</v>
      </c>
      <c r="U16" s="48"/>
      <c r="V16" s="48">
        <f>SUM(V6:V15)</f>
        <v>0</v>
      </c>
      <c r="W16" s="48"/>
      <c r="X16" s="48">
        <f>SUM(X6:X15)</f>
        <v>0</v>
      </c>
      <c r="Y16" s="48"/>
      <c r="Z16" s="48">
        <f>SUM(Z6:Z15)</f>
        <v>0</v>
      </c>
    </row>
    <row r="18" spans="2:18" x14ac:dyDescent="0.25">
      <c r="B18" s="2" t="s">
        <v>14</v>
      </c>
      <c r="D18" s="36">
        <f>D16*13</f>
        <v>0</v>
      </c>
      <c r="E18" s="36"/>
      <c r="F18" s="36">
        <f>F16*8</f>
        <v>0</v>
      </c>
      <c r="G18" s="36"/>
      <c r="H18" s="36">
        <f>H16*9</f>
        <v>0</v>
      </c>
    </row>
    <row r="19" spans="2:18" x14ac:dyDescent="0.25">
      <c r="B19" s="2"/>
      <c r="D19" s="17"/>
      <c r="E19" s="17"/>
      <c r="F19" s="17"/>
      <c r="G19" s="17"/>
      <c r="H19" s="17"/>
    </row>
    <row r="20" spans="2:18" x14ac:dyDescent="0.25">
      <c r="B20" s="2" t="s">
        <v>15</v>
      </c>
      <c r="D20" s="71">
        <f>SUM(D18:H18)</f>
        <v>0</v>
      </c>
      <c r="E20" s="17"/>
      <c r="F20" s="17"/>
      <c r="G20" s="17"/>
      <c r="H20" s="17"/>
      <c r="L20" t="s">
        <v>151</v>
      </c>
      <c r="R20" s="28">
        <f>SUM(L16:Z16)</f>
        <v>0</v>
      </c>
    </row>
    <row r="21" spans="2:18" x14ac:dyDescent="0.25">
      <c r="B21" s="2"/>
      <c r="L21" t="s">
        <v>110</v>
      </c>
      <c r="R21" s="30">
        <f>SUM(D16:H16)</f>
        <v>0</v>
      </c>
    </row>
    <row r="22" spans="2:18" x14ac:dyDescent="0.25">
      <c r="L22" s="2" t="s">
        <v>152</v>
      </c>
      <c r="M22" s="2"/>
      <c r="N22" s="2"/>
      <c r="O22" s="2"/>
      <c r="P22" s="2"/>
      <c r="Q22" s="2"/>
      <c r="R22" s="45">
        <f>R20+R21</f>
        <v>0</v>
      </c>
    </row>
    <row r="23" spans="2:18" x14ac:dyDescent="0.25">
      <c r="L23" s="35" t="s">
        <v>51</v>
      </c>
      <c r="R23" s="46"/>
    </row>
    <row r="24" spans="2:18" x14ac:dyDescent="0.25">
      <c r="L24" s="35" t="s">
        <v>20</v>
      </c>
      <c r="R24" s="47"/>
    </row>
    <row r="25" spans="2:18" x14ac:dyDescent="0.25">
      <c r="L25" s="2" t="s">
        <v>153</v>
      </c>
      <c r="M25" s="2"/>
      <c r="N25" s="2"/>
      <c r="O25" s="2"/>
      <c r="P25" s="2"/>
      <c r="Q25" s="2"/>
      <c r="R25" s="31">
        <f>SUM(R22:R24)</f>
        <v>0</v>
      </c>
    </row>
    <row r="26" spans="2:18" x14ac:dyDescent="0.25">
      <c r="F26" t="s">
        <v>59</v>
      </c>
      <c r="R26" s="28"/>
    </row>
    <row r="27" spans="2:18" x14ac:dyDescent="0.25">
      <c r="R27" s="28"/>
    </row>
    <row r="28" spans="2:18" x14ac:dyDescent="0.25">
      <c r="L28" s="35" t="s">
        <v>23</v>
      </c>
      <c r="R28" s="29"/>
    </row>
    <row r="29" spans="2:18" x14ac:dyDescent="0.25">
      <c r="L29" s="35" t="s">
        <v>25</v>
      </c>
      <c r="R29" s="29"/>
    </row>
    <row r="30" spans="2:18" ht="4.9000000000000004" customHeight="1" x14ac:dyDescent="0.25">
      <c r="R30" s="28"/>
    </row>
    <row r="31" spans="2:18" ht="15.75" thickBot="1" x14ac:dyDescent="0.3">
      <c r="L31" s="2" t="s">
        <v>154</v>
      </c>
      <c r="R31" s="32">
        <f>SUM(R25:R30)</f>
        <v>0</v>
      </c>
    </row>
    <row r="32" spans="2:18" ht="15.75" thickTop="1" x14ac:dyDescent="0.25"/>
    <row r="38" spans="2:36" x14ac:dyDescent="0.25"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2:36" s="22" customFormat="1" ht="29.25" customHeight="1" x14ac:dyDescent="0.25">
      <c r="B39" s="1" t="s">
        <v>111</v>
      </c>
      <c r="C39" s="1"/>
      <c r="D39" s="66" t="s">
        <v>122</v>
      </c>
      <c r="E39" s="66"/>
      <c r="F39" s="66" t="s">
        <v>123</v>
      </c>
      <c r="G39" s="66"/>
      <c r="H39" s="66" t="s">
        <v>124</v>
      </c>
      <c r="I39" s="66"/>
      <c r="J39" s="66" t="s">
        <v>125</v>
      </c>
      <c r="K39" s="66"/>
      <c r="L39" s="66" t="s">
        <v>126</v>
      </c>
      <c r="M39" s="66"/>
      <c r="N39" s="66" t="s">
        <v>127</v>
      </c>
      <c r="O39" s="66"/>
      <c r="P39" s="66" t="s">
        <v>128</v>
      </c>
      <c r="Q39" s="23" t="s">
        <v>130</v>
      </c>
      <c r="R39" s="66" t="s">
        <v>129</v>
      </c>
      <c r="S39" s="67"/>
      <c r="T39" s="68" t="s">
        <v>33</v>
      </c>
      <c r="U39" s="68"/>
      <c r="V39" s="68" t="s">
        <v>98</v>
      </c>
      <c r="W39" s="68"/>
      <c r="X39" s="68" t="s">
        <v>116</v>
      </c>
      <c r="Y39" s="68"/>
      <c r="Z39" s="68" t="s">
        <v>117</v>
      </c>
      <c r="AA39" s="68"/>
      <c r="AB39" s="68" t="s">
        <v>118</v>
      </c>
      <c r="AC39" s="68"/>
      <c r="AD39" s="68" t="s">
        <v>157</v>
      </c>
      <c r="AE39" s="69"/>
      <c r="AF39" s="68" t="s">
        <v>158</v>
      </c>
      <c r="AG39" s="68"/>
      <c r="AH39" s="68" t="s">
        <v>99</v>
      </c>
      <c r="AJ39" s="41" t="s">
        <v>131</v>
      </c>
    </row>
    <row r="40" spans="2:36" x14ac:dyDescent="0.25">
      <c r="D40" s="19">
        <v>300</v>
      </c>
      <c r="E40" s="19"/>
      <c r="F40" s="19">
        <v>300</v>
      </c>
      <c r="G40" s="19"/>
      <c r="H40" s="19">
        <v>300</v>
      </c>
      <c r="I40" s="19"/>
      <c r="J40" s="19">
        <v>300</v>
      </c>
      <c r="K40" s="19"/>
      <c r="L40" s="19">
        <v>300</v>
      </c>
      <c r="M40" s="19"/>
      <c r="N40" s="19">
        <v>300</v>
      </c>
      <c r="O40" s="19"/>
      <c r="P40" s="19">
        <v>300</v>
      </c>
      <c r="Q40" s="19"/>
      <c r="R40" s="19">
        <v>300</v>
      </c>
      <c r="S40" s="17"/>
      <c r="T40" s="17">
        <v>75</v>
      </c>
      <c r="U40" s="17"/>
      <c r="V40" s="17">
        <f>5+100+30+20+39</f>
        <v>194</v>
      </c>
      <c r="W40" s="17"/>
      <c r="X40" s="17">
        <f>100+660+120+140+18+4</f>
        <v>1042</v>
      </c>
      <c r="Y40" s="17"/>
      <c r="Z40" s="17">
        <v>150</v>
      </c>
      <c r="AA40" s="17"/>
      <c r="AB40" s="17">
        <f>100+100+1040+10+110</f>
        <v>1360</v>
      </c>
      <c r="AC40" s="17"/>
      <c r="AD40" s="17">
        <f>150+680+10+50+24</f>
        <v>914</v>
      </c>
      <c r="AE40" s="17"/>
      <c r="AF40" s="17">
        <f>1+660+50+105+25+24</f>
        <v>865</v>
      </c>
      <c r="AG40" s="17"/>
      <c r="AH40" s="17"/>
      <c r="AI40" s="17"/>
      <c r="AJ40" s="17"/>
    </row>
    <row r="41" spans="2:36" x14ac:dyDescent="0.25">
      <c r="B41" s="21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</row>
    <row r="42" spans="2:36" x14ac:dyDescent="0.25">
      <c r="B42" s="21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</row>
    <row r="43" spans="2:36" x14ac:dyDescent="0.25">
      <c r="B43" s="21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</row>
    <row r="44" spans="2:36" x14ac:dyDescent="0.25">
      <c r="D44" s="18"/>
      <c r="E44" s="19"/>
      <c r="F44" s="18"/>
      <c r="G44" s="19"/>
      <c r="H44" s="18"/>
      <c r="I44" s="19"/>
      <c r="J44" s="18"/>
      <c r="K44" s="19"/>
      <c r="L44" s="18"/>
      <c r="M44" s="19"/>
      <c r="N44" s="18"/>
      <c r="O44" s="19"/>
      <c r="P44" s="18"/>
      <c r="Q44" s="19"/>
      <c r="R44" s="18"/>
      <c r="S44" s="17"/>
      <c r="T44" s="18"/>
      <c r="U44" s="17"/>
      <c r="V44" s="18"/>
      <c r="W44" s="18"/>
      <c r="X44" s="18"/>
      <c r="Y44" s="17"/>
      <c r="Z44" s="18"/>
      <c r="AA44" s="17"/>
      <c r="AB44" s="18"/>
      <c r="AC44" s="17"/>
      <c r="AD44" s="18"/>
      <c r="AE44" s="17"/>
      <c r="AF44" s="18"/>
      <c r="AG44" s="17"/>
      <c r="AH44" s="18"/>
      <c r="AI44" s="17"/>
      <c r="AJ44" s="19"/>
    </row>
    <row r="45" spans="2:36" x14ac:dyDescent="0.25">
      <c r="B45" t="s">
        <v>34</v>
      </c>
      <c r="D45" s="17">
        <v>300</v>
      </c>
      <c r="E45" s="19"/>
      <c r="F45" s="17">
        <v>300</v>
      </c>
      <c r="G45" s="19"/>
      <c r="H45" s="17">
        <v>300</v>
      </c>
      <c r="I45" s="19"/>
      <c r="J45" s="17">
        <v>300</v>
      </c>
      <c r="K45" s="19"/>
      <c r="L45" s="17">
        <v>300</v>
      </c>
      <c r="M45" s="19"/>
      <c r="N45" s="17">
        <v>300</v>
      </c>
      <c r="O45" s="19"/>
      <c r="P45" s="17">
        <v>300</v>
      </c>
      <c r="Q45" s="19"/>
      <c r="R45" s="17">
        <v>300</v>
      </c>
      <c r="S45" s="17"/>
      <c r="T45" s="17">
        <v>75</v>
      </c>
      <c r="U45" s="17"/>
      <c r="V45" s="17">
        <f t="shared" ref="V45" si="0">SUM(V40:V44)</f>
        <v>194</v>
      </c>
      <c r="W45" s="17"/>
      <c r="X45" s="17">
        <f t="shared" ref="X45" si="1">SUM(X40:X44)</f>
        <v>1042</v>
      </c>
      <c r="Y45" s="17"/>
      <c r="Z45" s="17">
        <v>150</v>
      </c>
      <c r="AA45" s="17"/>
      <c r="AB45" s="17">
        <f t="shared" ref="AB45" si="2">SUM(AB40:AB44)</f>
        <v>1360</v>
      </c>
      <c r="AC45" s="17"/>
      <c r="AD45" s="17">
        <f t="shared" ref="AD45:AF45" si="3">SUM(AD40:AD44)</f>
        <v>914</v>
      </c>
      <c r="AE45" s="17"/>
      <c r="AF45" s="17">
        <f t="shared" si="3"/>
        <v>865</v>
      </c>
      <c r="AG45" s="17"/>
      <c r="AH45" s="17">
        <v>200</v>
      </c>
      <c r="AI45" s="17"/>
      <c r="AJ45" s="19"/>
    </row>
    <row r="46" spans="2:36" x14ac:dyDescent="0.25">
      <c r="B46" s="9" t="s">
        <v>112</v>
      </c>
      <c r="D46" s="18" t="e">
        <f>+#REF!</f>
        <v>#REF!</v>
      </c>
      <c r="E46" s="19"/>
      <c r="F46" s="18" t="e">
        <f>+#REF!</f>
        <v>#REF!</v>
      </c>
      <c r="G46" s="19"/>
      <c r="H46" s="18" t="e">
        <f>+#REF!</f>
        <v>#REF!</v>
      </c>
      <c r="I46" s="19"/>
      <c r="J46" s="18" t="e">
        <f>+#REF!</f>
        <v>#REF!</v>
      </c>
      <c r="K46" s="19"/>
      <c r="L46" s="18" t="e">
        <f>+#REF!</f>
        <v>#REF!</v>
      </c>
      <c r="M46" s="38"/>
      <c r="N46" s="18" t="e">
        <f>+#REF!</f>
        <v>#REF!</v>
      </c>
      <c r="O46" s="19"/>
      <c r="P46" s="18" t="e">
        <f>+#REF!</f>
        <v>#REF!</v>
      </c>
      <c r="Q46" s="19"/>
      <c r="R46" s="18" t="e">
        <f>+#REF!</f>
        <v>#REF!</v>
      </c>
      <c r="S46" s="17"/>
      <c r="T46" s="18" t="e">
        <f>+#REF!</f>
        <v>#REF!</v>
      </c>
      <c r="U46" s="17"/>
      <c r="V46" s="18" t="e">
        <f>+#REF!</f>
        <v>#REF!</v>
      </c>
      <c r="W46" s="18"/>
      <c r="X46" s="18">
        <v>150</v>
      </c>
      <c r="Y46" s="17"/>
      <c r="Z46" s="18" t="e">
        <f>+#REF!</f>
        <v>#REF!</v>
      </c>
      <c r="AA46" s="17"/>
      <c r="AB46" s="18">
        <v>150</v>
      </c>
      <c r="AC46" s="17"/>
      <c r="AD46" s="18">
        <v>150</v>
      </c>
      <c r="AE46" s="17"/>
      <c r="AF46" s="18">
        <v>150</v>
      </c>
      <c r="AG46" s="17"/>
      <c r="AH46" s="18" t="e">
        <f>+#REF!</f>
        <v>#REF!</v>
      </c>
      <c r="AI46" s="17"/>
      <c r="AJ46" s="18"/>
    </row>
    <row r="47" spans="2:36" x14ac:dyDescent="0.25">
      <c r="B47" s="2" t="s">
        <v>36</v>
      </c>
      <c r="D47" s="42" t="e">
        <f>D45-D46</f>
        <v>#REF!</v>
      </c>
      <c r="E47" s="42"/>
      <c r="F47" s="42" t="e">
        <f t="shared" ref="F47:AF47" si="4">F45-F46</f>
        <v>#REF!</v>
      </c>
      <c r="G47" s="42"/>
      <c r="H47" s="42" t="e">
        <f t="shared" si="4"/>
        <v>#REF!</v>
      </c>
      <c r="I47" s="42"/>
      <c r="J47" s="42" t="e">
        <f t="shared" si="4"/>
        <v>#REF!</v>
      </c>
      <c r="K47" s="42"/>
      <c r="L47" s="42" t="e">
        <f t="shared" si="4"/>
        <v>#REF!</v>
      </c>
      <c r="M47" s="42"/>
      <c r="N47" s="42" t="e">
        <f t="shared" si="4"/>
        <v>#REF!</v>
      </c>
      <c r="O47" s="42"/>
      <c r="P47" s="42" t="e">
        <f t="shared" si="4"/>
        <v>#REF!</v>
      </c>
      <c r="Q47" s="43" t="e">
        <f>SUM(D47:P47)</f>
        <v>#REF!</v>
      </c>
      <c r="R47" s="40" t="e">
        <f t="shared" si="4"/>
        <v>#REF!</v>
      </c>
      <c r="S47" s="40"/>
      <c r="T47" s="40" t="e">
        <f t="shared" si="4"/>
        <v>#REF!</v>
      </c>
      <c r="U47" s="40"/>
      <c r="V47" s="40" t="e">
        <f t="shared" si="4"/>
        <v>#REF!</v>
      </c>
      <c r="W47" s="40"/>
      <c r="X47" s="40">
        <f t="shared" si="4"/>
        <v>892</v>
      </c>
      <c r="Y47" s="40"/>
      <c r="Z47" s="40" t="e">
        <f t="shared" si="4"/>
        <v>#REF!</v>
      </c>
      <c r="AA47" s="40"/>
      <c r="AB47" s="40">
        <f t="shared" si="4"/>
        <v>1210</v>
      </c>
      <c r="AC47" s="40"/>
      <c r="AD47" s="40">
        <f t="shared" si="4"/>
        <v>764</v>
      </c>
      <c r="AE47" s="40"/>
      <c r="AF47" s="40">
        <f t="shared" si="4"/>
        <v>715</v>
      </c>
      <c r="AG47" s="40"/>
      <c r="AH47" s="40" t="e">
        <f t="shared" ref="AH47" si="5">AH45-AH46</f>
        <v>#REF!</v>
      </c>
      <c r="AI47" s="39"/>
      <c r="AJ47" s="43" t="e">
        <f>SUM(R47:AH47)</f>
        <v>#REF!</v>
      </c>
    </row>
    <row r="48" spans="2:36" x14ac:dyDescent="0.25">
      <c r="B48" s="6" t="s">
        <v>120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44"/>
      <c r="AI48" s="17"/>
      <c r="AJ48" s="36"/>
    </row>
    <row r="49" spans="2:37" ht="15.75" thickBot="1" x14ac:dyDescent="0.3"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49" t="e">
        <f>AJ47-AJ48</f>
        <v>#REF!</v>
      </c>
    </row>
    <row r="50" spans="2:37" ht="15.75" thickTop="1" x14ac:dyDescent="0.25">
      <c r="B50" t="s">
        <v>37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</row>
    <row r="51" spans="2:37" x14ac:dyDescent="0.25"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</row>
    <row r="52" spans="2:37" x14ac:dyDescent="0.25">
      <c r="D52" s="18"/>
      <c r="E52" s="17"/>
      <c r="F52" s="18"/>
      <c r="G52" s="17"/>
      <c r="H52" s="18"/>
      <c r="I52" s="17"/>
      <c r="J52" s="18"/>
      <c r="K52" s="17"/>
      <c r="L52" s="18"/>
      <c r="M52" s="17"/>
      <c r="N52" s="18"/>
      <c r="O52" s="17"/>
      <c r="P52" s="18"/>
      <c r="Q52" s="17"/>
      <c r="R52" s="18"/>
      <c r="S52" s="17"/>
      <c r="T52" s="18"/>
      <c r="U52" s="17"/>
      <c r="V52" s="18"/>
      <c r="W52" s="18"/>
      <c r="X52" s="18"/>
      <c r="Y52" s="17"/>
      <c r="Z52" s="18"/>
      <c r="AA52" s="17"/>
      <c r="AB52" s="18"/>
      <c r="AC52" s="17"/>
      <c r="AD52" s="18"/>
      <c r="AE52" s="17"/>
      <c r="AF52" s="18"/>
      <c r="AG52" s="17"/>
      <c r="AH52" s="18"/>
      <c r="AI52" s="17"/>
      <c r="AJ52" s="18"/>
    </row>
    <row r="53" spans="2:37" s="2" customFormat="1" x14ac:dyDescent="0.25">
      <c r="B53" s="2" t="s">
        <v>38</v>
      </c>
      <c r="D53" s="51">
        <f>SUM(D50:D52)</f>
        <v>0</v>
      </c>
      <c r="E53" s="51"/>
      <c r="F53" s="51">
        <f>SUM(F50:F52)</f>
        <v>0</v>
      </c>
      <c r="G53" s="51"/>
      <c r="H53" s="51">
        <f>SUM(H50:H52)</f>
        <v>0</v>
      </c>
      <c r="I53" s="51"/>
      <c r="J53" s="51">
        <f>SUM(J50:J52)</f>
        <v>0</v>
      </c>
      <c r="K53" s="51"/>
      <c r="L53" s="51">
        <f>SUM(L50:L52)</f>
        <v>0</v>
      </c>
      <c r="M53" s="51"/>
      <c r="N53" s="51">
        <f>SUM(N50:N52)</f>
        <v>0</v>
      </c>
      <c r="O53" s="51"/>
      <c r="P53" s="51">
        <f>SUM(P50:P52)</f>
        <v>0</v>
      </c>
      <c r="Q53" s="51">
        <f>SUM(D53:P53)</f>
        <v>0</v>
      </c>
      <c r="R53" s="51">
        <f>SUM(R50:R52)</f>
        <v>0</v>
      </c>
      <c r="S53" s="51"/>
      <c r="T53" s="51">
        <f>SUM(T50:T52)</f>
        <v>0</v>
      </c>
      <c r="U53" s="51"/>
      <c r="V53" s="51">
        <f>SUM(V50:V52)</f>
        <v>0</v>
      </c>
      <c r="W53" s="51"/>
      <c r="X53" s="51">
        <f>SUM(X50:X52)</f>
        <v>0</v>
      </c>
      <c r="Y53" s="51"/>
      <c r="Z53" s="51">
        <f>SUM(Z50:Z52)</f>
        <v>0</v>
      </c>
      <c r="AA53" s="51"/>
      <c r="AB53" s="51">
        <f>SUM(AB50:AB52)</f>
        <v>0</v>
      </c>
      <c r="AC53" s="51"/>
      <c r="AD53" s="51">
        <f>SUM(AD50:AD52)</f>
        <v>0</v>
      </c>
      <c r="AE53" s="51"/>
      <c r="AF53" s="51">
        <f>SUM(AF50:AF52)</f>
        <v>0</v>
      </c>
      <c r="AG53" s="51"/>
      <c r="AH53" s="51">
        <f>SUM(AH50:AH52)</f>
        <v>0</v>
      </c>
      <c r="AI53" s="51"/>
      <c r="AJ53" s="52">
        <f>SUM(AJ50:AJ52)</f>
        <v>0</v>
      </c>
    </row>
    <row r="54" spans="2:37" x14ac:dyDescent="0.25"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</row>
    <row r="55" spans="2:37" x14ac:dyDescent="0.25"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</row>
    <row r="56" spans="2:37" s="2" customFormat="1" ht="15.75" thickBot="1" x14ac:dyDescent="0.3">
      <c r="B56" s="2" t="s">
        <v>39</v>
      </c>
      <c r="D56" s="50" t="e">
        <f>+D47+D53</f>
        <v>#REF!</v>
      </c>
      <c r="E56" s="36"/>
      <c r="F56" s="50" t="e">
        <f>+F47+F53</f>
        <v>#REF!</v>
      </c>
      <c r="G56" s="36"/>
      <c r="H56" s="50" t="e">
        <f>+H47+H53</f>
        <v>#REF!</v>
      </c>
      <c r="I56" s="36"/>
      <c r="J56" s="50" t="e">
        <f>+J47+J53</f>
        <v>#REF!</v>
      </c>
      <c r="K56" s="36"/>
      <c r="L56" s="50" t="e">
        <f>+L47+L53</f>
        <v>#REF!</v>
      </c>
      <c r="M56" s="36"/>
      <c r="N56" s="50" t="e">
        <f>+N47+N53</f>
        <v>#REF!</v>
      </c>
      <c r="O56" s="36"/>
      <c r="P56" s="50" t="e">
        <f>+P47+P53</f>
        <v>#REF!</v>
      </c>
      <c r="Q56" s="36"/>
      <c r="R56" s="50" t="e">
        <f>+R47+R53</f>
        <v>#REF!</v>
      </c>
      <c r="S56" s="36"/>
      <c r="T56" s="50" t="e">
        <f>+T47+T53</f>
        <v>#REF!</v>
      </c>
      <c r="U56" s="36"/>
      <c r="V56" s="50" t="e">
        <f>+V47+V53</f>
        <v>#REF!</v>
      </c>
      <c r="W56" s="50"/>
      <c r="X56" s="50">
        <f>+X47+X53</f>
        <v>892</v>
      </c>
      <c r="Y56" s="50"/>
      <c r="Z56" s="50" t="e">
        <f t="shared" ref="Z56:AF56" si="6">Z47+Z53</f>
        <v>#REF!</v>
      </c>
      <c r="AA56" s="50"/>
      <c r="AB56" s="50">
        <f t="shared" si="6"/>
        <v>1210</v>
      </c>
      <c r="AC56" s="50"/>
      <c r="AD56" s="50">
        <f t="shared" si="6"/>
        <v>764</v>
      </c>
      <c r="AE56" s="50"/>
      <c r="AF56" s="50">
        <f t="shared" si="6"/>
        <v>715</v>
      </c>
      <c r="AG56" s="50"/>
      <c r="AH56" s="50" t="e">
        <f t="shared" ref="AH56" si="7">AH47+AH53</f>
        <v>#REF!</v>
      </c>
      <c r="AI56" s="50"/>
      <c r="AJ56" s="53" t="e">
        <f>+Q47+AJ47+AJ53</f>
        <v>#REF!</v>
      </c>
      <c r="AK56" s="2" t="s">
        <v>148</v>
      </c>
    </row>
    <row r="57" spans="2:37" ht="15.75" thickTop="1" x14ac:dyDescent="0.25"/>
    <row r="58" spans="2:37" x14ac:dyDescent="0.25"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</row>
    <row r="59" spans="2:37" x14ac:dyDescent="0.25">
      <c r="B59" s="72" t="s">
        <v>40</v>
      </c>
      <c r="C59" s="54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6">
        <f>SUM(D59:AH59)</f>
        <v>0</v>
      </c>
      <c r="AK59" s="2" t="s">
        <v>97</v>
      </c>
    </row>
    <row r="60" spans="2:37" s="2" customFormat="1" x14ac:dyDescent="0.25">
      <c r="B60" s="2" t="s">
        <v>121</v>
      </c>
      <c r="D60" s="58" t="e">
        <f>+D59+D56</f>
        <v>#REF!</v>
      </c>
      <c r="E60" s="36"/>
      <c r="F60" s="58" t="e">
        <f t="shared" ref="F60:P60" si="8">+F59+F56</f>
        <v>#REF!</v>
      </c>
      <c r="G60" s="36"/>
      <c r="H60" s="58" t="e">
        <f t="shared" si="8"/>
        <v>#REF!</v>
      </c>
      <c r="I60" s="36"/>
      <c r="J60" s="58" t="e">
        <f t="shared" si="8"/>
        <v>#REF!</v>
      </c>
      <c r="K60" s="36"/>
      <c r="L60" s="58" t="e">
        <f t="shared" si="8"/>
        <v>#REF!</v>
      </c>
      <c r="M60" s="36"/>
      <c r="N60" s="58" t="e">
        <f t="shared" si="8"/>
        <v>#REF!</v>
      </c>
      <c r="O60" s="36"/>
      <c r="P60" s="58" t="e">
        <f t="shared" si="8"/>
        <v>#REF!</v>
      </c>
      <c r="Q60" s="36"/>
      <c r="R60" s="58" t="e">
        <f t="shared" ref="R60:AH60" si="9">+R59+R56</f>
        <v>#REF!</v>
      </c>
      <c r="S60" s="36">
        <f t="shared" si="9"/>
        <v>0</v>
      </c>
      <c r="T60" s="58" t="e">
        <f t="shared" si="9"/>
        <v>#REF!</v>
      </c>
      <c r="U60" s="36">
        <f t="shared" si="9"/>
        <v>0</v>
      </c>
      <c r="V60" s="58" t="e">
        <f t="shared" si="9"/>
        <v>#REF!</v>
      </c>
      <c r="W60" s="36">
        <f t="shared" si="9"/>
        <v>0</v>
      </c>
      <c r="X60" s="58">
        <f t="shared" si="9"/>
        <v>892</v>
      </c>
      <c r="Y60" s="36">
        <f t="shared" si="9"/>
        <v>0</v>
      </c>
      <c r="Z60" s="58" t="e">
        <f t="shared" si="9"/>
        <v>#REF!</v>
      </c>
      <c r="AA60" s="36">
        <f t="shared" si="9"/>
        <v>0</v>
      </c>
      <c r="AB60" s="58">
        <f t="shared" si="9"/>
        <v>1210</v>
      </c>
      <c r="AC60" s="36">
        <f t="shared" si="9"/>
        <v>0</v>
      </c>
      <c r="AD60" s="58">
        <f t="shared" si="9"/>
        <v>764</v>
      </c>
      <c r="AE60" s="36">
        <f t="shared" si="9"/>
        <v>0</v>
      </c>
      <c r="AF60" s="58">
        <f t="shared" si="9"/>
        <v>715</v>
      </c>
      <c r="AG60" s="36">
        <f t="shared" si="9"/>
        <v>0</v>
      </c>
      <c r="AH60" s="58" t="e">
        <f t="shared" si="9"/>
        <v>#REF!</v>
      </c>
      <c r="AI60" s="36"/>
      <c r="AJ60" s="59" t="e">
        <f>SUM(AJ56:AJ59)</f>
        <v>#REF!</v>
      </c>
      <c r="AK60" s="2" t="s">
        <v>159</v>
      </c>
    </row>
    <row r="61" spans="2:37" ht="25.5" customHeight="1" x14ac:dyDescent="0.25">
      <c r="D61" s="17"/>
      <c r="E61" s="17"/>
      <c r="F61" s="17" t="s">
        <v>113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 t="s">
        <v>59</v>
      </c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</row>
    <row r="62" spans="2:37" ht="14.45" customHeight="1" x14ac:dyDescent="0.4">
      <c r="B62" s="57" t="s">
        <v>160</v>
      </c>
      <c r="D62" s="75" t="s">
        <v>164</v>
      </c>
      <c r="E62" s="75"/>
      <c r="F62" s="75" t="s">
        <v>162</v>
      </c>
      <c r="G62" s="75"/>
      <c r="H62" s="75" t="s">
        <v>21</v>
      </c>
      <c r="I62" s="17"/>
      <c r="J62" s="17"/>
      <c r="K62" s="17"/>
      <c r="L62" s="108" t="s">
        <v>119</v>
      </c>
      <c r="M62" s="108"/>
      <c r="N62" s="108"/>
      <c r="O62" s="17"/>
      <c r="P62" s="75" t="s">
        <v>164</v>
      </c>
      <c r="Q62" s="75" t="s">
        <v>162</v>
      </c>
      <c r="R62" s="75" t="s">
        <v>21</v>
      </c>
      <c r="S62" s="75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</row>
    <row r="63" spans="2:37" x14ac:dyDescent="0.25">
      <c r="B63" t="s">
        <v>161</v>
      </c>
      <c r="C63" s="20"/>
      <c r="D63" s="17">
        <v>0</v>
      </c>
      <c r="E63" s="17"/>
      <c r="F63" s="17">
        <f>SUM(D59:P59)</f>
        <v>0</v>
      </c>
      <c r="G63" s="17"/>
      <c r="H63" s="65">
        <f>SUM(D63:F63)</f>
        <v>0</v>
      </c>
      <c r="I63" s="17"/>
      <c r="J63" s="17"/>
      <c r="K63" s="17"/>
      <c r="M63" s="16"/>
      <c r="N63" s="16" t="s">
        <v>129</v>
      </c>
      <c r="O63" s="17"/>
      <c r="P63" s="17">
        <v>0</v>
      </c>
      <c r="Q63" s="17">
        <f>+R59</f>
        <v>0</v>
      </c>
      <c r="R63" s="17">
        <f>SUM(P63:Q63)</f>
        <v>0</v>
      </c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</row>
    <row r="64" spans="2:37" x14ac:dyDescent="0.25">
      <c r="B64" t="s">
        <v>166</v>
      </c>
      <c r="C64" s="20"/>
      <c r="D64" s="17"/>
      <c r="E64" s="17"/>
      <c r="F64" s="17"/>
      <c r="G64" s="17"/>
      <c r="H64" s="65"/>
      <c r="I64" s="17"/>
      <c r="J64" s="17"/>
      <c r="K64" s="17"/>
      <c r="L64" s="17"/>
      <c r="M64" s="17"/>
      <c r="N64" s="17" t="s">
        <v>114</v>
      </c>
      <c r="O64" s="17"/>
      <c r="P64" s="17" t="e">
        <f>+AJ60</f>
        <v>#REF!</v>
      </c>
      <c r="Q64" s="17">
        <f>SUM(T59:AH59)</f>
        <v>0</v>
      </c>
      <c r="R64" s="17" t="e">
        <f>SUM(P64:Q64)</f>
        <v>#REF!</v>
      </c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</row>
    <row r="65" spans="2:37" s="36" customFormat="1" ht="15.75" thickBot="1" x14ac:dyDescent="0.3">
      <c r="B65" s="36" t="s">
        <v>149</v>
      </c>
      <c r="D65" s="49">
        <f>SUM(D63:D64)</f>
        <v>0</v>
      </c>
      <c r="F65" s="49">
        <f>SUM(F63:F64)</f>
        <v>0</v>
      </c>
      <c r="H65" s="60">
        <f>SUM(H63:H64)</f>
        <v>0</v>
      </c>
      <c r="N65" s="36" t="s">
        <v>115</v>
      </c>
      <c r="P65" s="49" t="e">
        <f>SUM(P63:P64)</f>
        <v>#REF!</v>
      </c>
      <c r="Q65" s="49">
        <f>SUM(Q63:Q64)</f>
        <v>0</v>
      </c>
      <c r="R65" s="60" t="e">
        <f>SUM(R63:R64)</f>
        <v>#REF!</v>
      </c>
      <c r="X65" s="37"/>
      <c r="AH65" s="36" t="s">
        <v>150</v>
      </c>
      <c r="AJ65" s="36" t="e">
        <f>+H65+R65</f>
        <v>#REF!</v>
      </c>
    </row>
    <row r="66" spans="2:37" ht="15.75" thickTop="1" x14ac:dyDescent="0.25">
      <c r="C66" s="109" t="s">
        <v>115</v>
      </c>
      <c r="D66" s="109"/>
      <c r="E66" s="10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</row>
    <row r="67" spans="2:37" x14ac:dyDescent="0.25"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64"/>
      <c r="AH67" s="64"/>
      <c r="AI67" s="64"/>
      <c r="AJ67" s="20"/>
    </row>
    <row r="68" spans="2:37" x14ac:dyDescent="0.25"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 t="s">
        <v>59</v>
      </c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</row>
    <row r="69" spans="2:37" x14ac:dyDescent="0.25">
      <c r="B69" s="2" t="s">
        <v>165</v>
      </c>
      <c r="C69" s="20"/>
      <c r="D69" s="20"/>
      <c r="E69" s="20"/>
      <c r="F69" s="20"/>
      <c r="G69" s="20"/>
      <c r="H69" s="62">
        <f>+D20</f>
        <v>0</v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</row>
    <row r="70" spans="2:37" ht="15.75" thickBot="1" x14ac:dyDescent="0.3">
      <c r="B70" s="61" t="s">
        <v>163</v>
      </c>
      <c r="C70" s="20"/>
      <c r="D70" s="20"/>
      <c r="E70" s="20"/>
      <c r="F70" s="20"/>
      <c r="G70" s="20"/>
      <c r="H70" s="63">
        <f>-H69+H65</f>
        <v>0</v>
      </c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</row>
    <row r="71" spans="2:37" ht="15.75" thickTop="1" x14ac:dyDescent="0.25"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</row>
    <row r="72" spans="2:37" x14ac:dyDescent="0.25"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</row>
    <row r="74" spans="2:37" x14ac:dyDescent="0.25">
      <c r="B74" s="2" t="s">
        <v>183</v>
      </c>
      <c r="C74" s="20"/>
      <c r="D74" s="20"/>
      <c r="E74" s="20"/>
      <c r="F74" s="20"/>
      <c r="G74" s="20"/>
      <c r="H74" s="20"/>
      <c r="I74" s="20"/>
      <c r="J74" s="20"/>
    </row>
    <row r="75" spans="2:37" x14ac:dyDescent="0.25">
      <c r="B75" t="s">
        <v>171</v>
      </c>
      <c r="D75" s="78"/>
      <c r="H75" t="s">
        <v>184</v>
      </c>
      <c r="J75" s="33">
        <f>+D75</f>
        <v>0</v>
      </c>
    </row>
    <row r="76" spans="2:37" x14ac:dyDescent="0.25">
      <c r="B76" t="s">
        <v>172</v>
      </c>
      <c r="D76" s="78"/>
      <c r="H76" t="s">
        <v>185</v>
      </c>
      <c r="J76" s="33">
        <f>+D77+D81+D83</f>
        <v>17</v>
      </c>
    </row>
    <row r="77" spans="2:37" x14ac:dyDescent="0.25">
      <c r="B77" t="s">
        <v>173</v>
      </c>
      <c r="D77" s="78"/>
      <c r="H77" t="s">
        <v>186</v>
      </c>
      <c r="J77" s="33">
        <f>+D78+D79+D80+D82+D84+D85</f>
        <v>125</v>
      </c>
    </row>
    <row r="78" spans="2:37" x14ac:dyDescent="0.25">
      <c r="B78" t="s">
        <v>174</v>
      </c>
      <c r="D78" s="78">
        <v>3</v>
      </c>
      <c r="H78" t="s">
        <v>158</v>
      </c>
      <c r="J78" s="34">
        <f>+D76</f>
        <v>0</v>
      </c>
      <c r="AJ78" s="33" t="e">
        <f>+T56+V56+X56+Z56+AB56+AD56+AF56+AH56+D89</f>
        <v>#REF!</v>
      </c>
      <c r="AK78" t="s">
        <v>188</v>
      </c>
    </row>
    <row r="79" spans="2:37" x14ac:dyDescent="0.25">
      <c r="B79" t="s">
        <v>175</v>
      </c>
      <c r="D79" s="78"/>
      <c r="J79" s="33">
        <f>SUM(J75:J78)</f>
        <v>142</v>
      </c>
    </row>
    <row r="80" spans="2:37" x14ac:dyDescent="0.25">
      <c r="B80" t="s">
        <v>176</v>
      </c>
      <c r="D80" s="78">
        <v>12</v>
      </c>
    </row>
    <row r="81" spans="2:6" x14ac:dyDescent="0.25">
      <c r="B81" t="s">
        <v>177</v>
      </c>
      <c r="D81" s="78">
        <v>10</v>
      </c>
    </row>
    <row r="82" spans="2:6" x14ac:dyDescent="0.25">
      <c r="B82" t="s">
        <v>178</v>
      </c>
      <c r="D82" s="78">
        <v>90</v>
      </c>
    </row>
    <row r="83" spans="2:6" x14ac:dyDescent="0.25">
      <c r="B83" t="s">
        <v>179</v>
      </c>
      <c r="D83" s="78">
        <v>7</v>
      </c>
    </row>
    <row r="84" spans="2:6" x14ac:dyDescent="0.25">
      <c r="B84" t="s">
        <v>180</v>
      </c>
      <c r="D84" s="78">
        <v>18</v>
      </c>
    </row>
    <row r="85" spans="2:6" x14ac:dyDescent="0.25">
      <c r="B85" t="s">
        <v>181</v>
      </c>
      <c r="D85" s="79">
        <v>2</v>
      </c>
    </row>
    <row r="86" spans="2:6" x14ac:dyDescent="0.25">
      <c r="D86" s="33">
        <f>SUM(D75:D85)</f>
        <v>142</v>
      </c>
    </row>
    <row r="87" spans="2:6" x14ac:dyDescent="0.25">
      <c r="B87" t="s">
        <v>182</v>
      </c>
      <c r="D87" s="33">
        <v>-5.09</v>
      </c>
    </row>
    <row r="88" spans="2:6" x14ac:dyDescent="0.25">
      <c r="B88" t="s">
        <v>187</v>
      </c>
      <c r="C88">
        <v>-4</v>
      </c>
      <c r="D88" s="34">
        <v>-4</v>
      </c>
    </row>
    <row r="89" spans="2:6" x14ac:dyDescent="0.25">
      <c r="D89" s="33">
        <f>SUM(D86:D88)</f>
        <v>132.91</v>
      </c>
      <c r="F89" t="s">
        <v>189</v>
      </c>
    </row>
  </sheetData>
  <mergeCells count="4">
    <mergeCell ref="D4:H4"/>
    <mergeCell ref="L4:Z4"/>
    <mergeCell ref="L62:N62"/>
    <mergeCell ref="C66:E66"/>
  </mergeCells>
  <pageMargins left="0.7" right="0.7" top="0.75" bottom="0.75" header="0.3" footer="0.3"/>
  <pageSetup scale="56" orientation="landscape" r:id="rId1"/>
  <rowBreaks count="1" manualBreakCount="1">
    <brk id="37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B3" sqref="B3"/>
    </sheetView>
  </sheetViews>
  <sheetFormatPr defaultRowHeight="15.75" x14ac:dyDescent="0.25"/>
  <cols>
    <col min="1" max="1" width="9" style="81" bestFit="1" customWidth="1"/>
    <col min="2" max="7" width="10" style="81" bestFit="1" customWidth="1"/>
    <col min="8" max="8" width="9.140625" style="81"/>
    <col min="9" max="9" width="11" style="81" bestFit="1" customWidth="1"/>
    <col min="10" max="10" width="10" style="81" bestFit="1" customWidth="1"/>
    <col min="11" max="11" width="8.42578125" style="81" bestFit="1" customWidth="1"/>
    <col min="12" max="12" width="12.5703125" style="81" bestFit="1" customWidth="1"/>
    <col min="13" max="13" width="9.7109375" style="81" bestFit="1" customWidth="1"/>
    <col min="14" max="14" width="9.28515625" style="81" bestFit="1" customWidth="1"/>
    <col min="15" max="15" width="17.28515625" style="81" bestFit="1" customWidth="1"/>
    <col min="16" max="16384" width="9.140625" style="81"/>
  </cols>
  <sheetData>
    <row r="1" spans="1:14" ht="67.5" customHeight="1" thickBot="1" x14ac:dyDescent="0.3">
      <c r="A1" s="110" t="s">
        <v>190</v>
      </c>
      <c r="B1" s="111"/>
      <c r="C1" s="112"/>
      <c r="I1" s="110" t="s">
        <v>192</v>
      </c>
      <c r="J1" s="111"/>
      <c r="K1" s="112"/>
    </row>
    <row r="2" spans="1:14" ht="18.75" x14ac:dyDescent="0.3">
      <c r="A2" s="82"/>
      <c r="B2" s="85" t="s">
        <v>122</v>
      </c>
      <c r="C2" s="85" t="s">
        <v>123</v>
      </c>
      <c r="D2" s="85" t="s">
        <v>124</v>
      </c>
      <c r="E2" s="85" t="s">
        <v>125</v>
      </c>
      <c r="F2" s="85" t="s">
        <v>126</v>
      </c>
      <c r="G2" s="85" t="s">
        <v>127</v>
      </c>
      <c r="I2" s="85" t="s">
        <v>33</v>
      </c>
      <c r="J2" s="86" t="s">
        <v>98</v>
      </c>
      <c r="K2" s="86" t="s">
        <v>116</v>
      </c>
      <c r="L2" s="86" t="s">
        <v>117</v>
      </c>
      <c r="M2" s="86" t="s">
        <v>118</v>
      </c>
      <c r="N2" s="87" t="s">
        <v>191</v>
      </c>
    </row>
    <row r="3" spans="1:14" x14ac:dyDescent="0.25">
      <c r="A3" s="83">
        <v>44531</v>
      </c>
      <c r="B3" s="88">
        <v>222</v>
      </c>
      <c r="C3" s="88">
        <v>0</v>
      </c>
      <c r="D3" s="88">
        <v>217</v>
      </c>
      <c r="E3" s="88">
        <v>152</v>
      </c>
      <c r="F3" s="88">
        <v>42</v>
      </c>
      <c r="G3" s="89">
        <v>13</v>
      </c>
      <c r="I3" s="92">
        <v>0</v>
      </c>
      <c r="J3" s="88">
        <v>12</v>
      </c>
      <c r="K3" s="88">
        <v>70</v>
      </c>
      <c r="L3" s="88">
        <v>177</v>
      </c>
      <c r="M3" s="88">
        <v>143</v>
      </c>
      <c r="N3" s="89">
        <v>559</v>
      </c>
    </row>
    <row r="4" spans="1:14" x14ac:dyDescent="0.25">
      <c r="A4" s="83">
        <v>44532</v>
      </c>
      <c r="B4" s="88">
        <v>372</v>
      </c>
      <c r="C4" s="88">
        <v>384</v>
      </c>
      <c r="D4" s="88">
        <v>22</v>
      </c>
      <c r="E4" s="88">
        <v>86</v>
      </c>
      <c r="F4" s="88">
        <v>43</v>
      </c>
      <c r="G4" s="89">
        <v>85</v>
      </c>
      <c r="I4" s="92">
        <v>22</v>
      </c>
      <c r="J4" s="88">
        <v>25</v>
      </c>
      <c r="K4" s="88">
        <v>63</v>
      </c>
      <c r="L4" s="88">
        <v>205</v>
      </c>
      <c r="M4" s="88">
        <v>188</v>
      </c>
      <c r="N4" s="89">
        <v>378</v>
      </c>
    </row>
    <row r="5" spans="1:14" x14ac:dyDescent="0.25">
      <c r="A5" s="83">
        <v>44533</v>
      </c>
      <c r="B5" s="88">
        <v>24</v>
      </c>
      <c r="C5" s="88">
        <v>43</v>
      </c>
      <c r="D5" s="88">
        <v>83</v>
      </c>
      <c r="E5" s="88">
        <v>237</v>
      </c>
      <c r="F5" s="88">
        <v>14</v>
      </c>
      <c r="G5" s="89">
        <v>53</v>
      </c>
      <c r="I5" s="92">
        <v>25</v>
      </c>
      <c r="J5" s="88">
        <v>77</v>
      </c>
      <c r="K5" s="88">
        <v>26</v>
      </c>
      <c r="L5" s="88">
        <v>222</v>
      </c>
      <c r="M5" s="88">
        <v>192</v>
      </c>
      <c r="N5" s="89">
        <v>936</v>
      </c>
    </row>
    <row r="6" spans="1:14" x14ac:dyDescent="0.25">
      <c r="A6" s="83">
        <v>44534</v>
      </c>
      <c r="B6" s="88">
        <v>521</v>
      </c>
      <c r="C6" s="88">
        <v>64</v>
      </c>
      <c r="D6" s="88">
        <v>97</v>
      </c>
      <c r="E6" s="88">
        <v>352</v>
      </c>
      <c r="F6" s="88">
        <v>87</v>
      </c>
      <c r="G6" s="89">
        <v>185</v>
      </c>
      <c r="I6" s="92">
        <v>72</v>
      </c>
      <c r="J6" s="88">
        <v>55</v>
      </c>
      <c r="K6" s="88">
        <v>73</v>
      </c>
      <c r="L6" s="88">
        <v>219</v>
      </c>
      <c r="M6" s="88">
        <v>165</v>
      </c>
      <c r="N6" s="89">
        <v>376</v>
      </c>
    </row>
    <row r="7" spans="1:14" x14ac:dyDescent="0.25">
      <c r="A7" s="83">
        <v>44535</v>
      </c>
      <c r="B7" s="88">
        <v>61</v>
      </c>
      <c r="C7" s="88">
        <v>87</v>
      </c>
      <c r="D7" s="88">
        <v>345</v>
      </c>
      <c r="E7" s="88">
        <v>83</v>
      </c>
      <c r="F7" s="88">
        <v>40</v>
      </c>
      <c r="G7" s="89">
        <v>180</v>
      </c>
      <c r="I7" s="92">
        <v>4</v>
      </c>
      <c r="J7" s="88">
        <v>92</v>
      </c>
      <c r="K7" s="88">
        <v>88</v>
      </c>
      <c r="L7" s="88">
        <v>188</v>
      </c>
      <c r="M7" s="88">
        <v>207</v>
      </c>
      <c r="N7" s="89">
        <v>284</v>
      </c>
    </row>
    <row r="8" spans="1:14" x14ac:dyDescent="0.25">
      <c r="A8" s="83">
        <v>44536</v>
      </c>
      <c r="B8" s="88">
        <v>51</v>
      </c>
      <c r="C8" s="88">
        <v>75</v>
      </c>
      <c r="D8" s="88">
        <v>43</v>
      </c>
      <c r="E8" s="88">
        <v>234</v>
      </c>
      <c r="F8" s="88">
        <v>76</v>
      </c>
      <c r="G8" s="89">
        <v>129</v>
      </c>
      <c r="I8" s="92">
        <v>37</v>
      </c>
      <c r="J8" s="88">
        <v>71</v>
      </c>
      <c r="K8" s="88">
        <v>93</v>
      </c>
      <c r="L8" s="88">
        <v>162</v>
      </c>
      <c r="M8" s="88">
        <v>223</v>
      </c>
      <c r="N8" s="89">
        <v>835</v>
      </c>
    </row>
    <row r="9" spans="1:14" x14ac:dyDescent="0.25">
      <c r="A9" s="83">
        <v>44537</v>
      </c>
      <c r="B9" s="88">
        <v>75</v>
      </c>
      <c r="C9" s="88">
        <v>63</v>
      </c>
      <c r="D9" s="88">
        <v>140</v>
      </c>
      <c r="E9" s="88">
        <v>32</v>
      </c>
      <c r="F9" s="88">
        <v>67</v>
      </c>
      <c r="G9" s="89">
        <v>221</v>
      </c>
      <c r="I9" s="92">
        <v>82</v>
      </c>
      <c r="J9" s="88">
        <v>0</v>
      </c>
      <c r="K9" s="88">
        <v>45</v>
      </c>
      <c r="L9" s="88">
        <v>193</v>
      </c>
      <c r="M9" s="88">
        <v>212</v>
      </c>
      <c r="N9" s="89">
        <v>247</v>
      </c>
    </row>
    <row r="10" spans="1:14" x14ac:dyDescent="0.25">
      <c r="A10" s="83">
        <v>44538</v>
      </c>
      <c r="B10" s="88">
        <v>332</v>
      </c>
      <c r="C10" s="88">
        <v>65</v>
      </c>
      <c r="D10" s="88">
        <v>127</v>
      </c>
      <c r="E10" s="88">
        <v>42</v>
      </c>
      <c r="F10" s="88">
        <v>59</v>
      </c>
      <c r="G10" s="89">
        <v>30</v>
      </c>
      <c r="I10" s="92">
        <v>51</v>
      </c>
      <c r="J10" s="88">
        <v>38</v>
      </c>
      <c r="K10" s="88">
        <v>92</v>
      </c>
      <c r="L10" s="88">
        <v>127</v>
      </c>
      <c r="M10" s="88">
        <v>239</v>
      </c>
      <c r="N10" s="89">
        <v>458</v>
      </c>
    </row>
    <row r="11" spans="1:14" x14ac:dyDescent="0.25">
      <c r="A11" s="83">
        <v>44539</v>
      </c>
      <c r="B11" s="88">
        <v>74</v>
      </c>
      <c r="C11" s="88">
        <v>199</v>
      </c>
      <c r="D11" s="88">
        <v>40</v>
      </c>
      <c r="E11" s="88">
        <v>221</v>
      </c>
      <c r="F11" s="88">
        <v>79</v>
      </c>
      <c r="G11" s="89">
        <v>98</v>
      </c>
      <c r="I11" s="92">
        <v>0</v>
      </c>
      <c r="J11" s="88">
        <v>91</v>
      </c>
      <c r="K11" s="88">
        <v>112</v>
      </c>
      <c r="L11" s="88">
        <v>172</v>
      </c>
      <c r="M11" s="88">
        <v>211</v>
      </c>
      <c r="N11" s="89">
        <v>294</v>
      </c>
    </row>
    <row r="12" spans="1:14" x14ac:dyDescent="0.25">
      <c r="A12" s="83">
        <v>44540</v>
      </c>
      <c r="B12" s="88">
        <v>96</v>
      </c>
      <c r="C12" s="88">
        <v>52</v>
      </c>
      <c r="D12" s="88">
        <v>176</v>
      </c>
      <c r="E12" s="88">
        <v>88</v>
      </c>
      <c r="F12" s="88">
        <v>40</v>
      </c>
      <c r="G12" s="89">
        <v>32</v>
      </c>
      <c r="I12" s="92">
        <v>33</v>
      </c>
      <c r="J12" s="88">
        <v>83</v>
      </c>
      <c r="K12" s="88">
        <v>88</v>
      </c>
      <c r="L12" s="88">
        <v>151</v>
      </c>
      <c r="M12" s="88">
        <v>209</v>
      </c>
      <c r="N12" s="89">
        <v>816</v>
      </c>
    </row>
    <row r="13" spans="1:14" x14ac:dyDescent="0.25">
      <c r="A13" s="83">
        <v>44541</v>
      </c>
      <c r="B13" s="88">
        <v>70</v>
      </c>
      <c r="C13" s="88">
        <v>73</v>
      </c>
      <c r="D13" s="88">
        <v>40</v>
      </c>
      <c r="E13" s="88">
        <v>32</v>
      </c>
      <c r="F13" s="88">
        <v>714</v>
      </c>
      <c r="G13" s="89">
        <v>16</v>
      </c>
      <c r="I13" s="92">
        <v>6</v>
      </c>
      <c r="J13" s="88">
        <v>74</v>
      </c>
      <c r="K13" s="88">
        <v>40</v>
      </c>
      <c r="L13" s="88">
        <v>193</v>
      </c>
      <c r="M13" s="88">
        <v>1188</v>
      </c>
      <c r="N13" s="89">
        <v>331</v>
      </c>
    </row>
    <row r="14" spans="1:14" ht="16.5" thickBot="1" x14ac:dyDescent="0.3">
      <c r="A14" s="84">
        <v>44542</v>
      </c>
      <c r="B14" s="90">
        <v>199</v>
      </c>
      <c r="C14" s="90">
        <v>86</v>
      </c>
      <c r="D14" s="90">
        <v>220</v>
      </c>
      <c r="E14" s="90">
        <v>300</v>
      </c>
      <c r="F14" s="90">
        <v>70</v>
      </c>
      <c r="G14" s="91">
        <v>61</v>
      </c>
      <c r="I14" s="93">
        <v>81</v>
      </c>
      <c r="J14" s="90">
        <v>51</v>
      </c>
      <c r="K14" s="90">
        <v>92</v>
      </c>
      <c r="L14" s="90">
        <v>231</v>
      </c>
      <c r="M14" s="90">
        <v>175</v>
      </c>
      <c r="N14" s="91">
        <v>288</v>
      </c>
    </row>
  </sheetData>
  <mergeCells count="2">
    <mergeCell ref="A1:C1"/>
    <mergeCell ref="I1:K1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AK72"/>
  <sheetViews>
    <sheetView zoomScaleNormal="100" workbookViewId="0">
      <selection activeCell="V9" sqref="V9"/>
    </sheetView>
  </sheetViews>
  <sheetFormatPr defaultRowHeight="15" x14ac:dyDescent="0.25"/>
  <cols>
    <col min="1" max="1" width="1.28515625" customWidth="1"/>
    <col min="2" max="2" width="11.5703125" customWidth="1"/>
    <col min="3" max="3" width="1" customWidth="1"/>
    <col min="4" max="4" width="8.7109375" customWidth="1"/>
    <col min="5" max="5" width="1" customWidth="1"/>
    <col min="6" max="6" width="8.28515625" customWidth="1"/>
    <col min="7" max="7" width="1.140625" customWidth="1"/>
    <col min="8" max="8" width="10" customWidth="1"/>
    <col min="9" max="9" width="1.140625" customWidth="1"/>
    <col min="10" max="10" width="8.28515625" customWidth="1"/>
    <col min="11" max="11" width="1.85546875" customWidth="1"/>
    <col min="12" max="12" width="8.42578125" customWidth="1"/>
    <col min="13" max="13" width="1" customWidth="1"/>
    <col min="14" max="14" width="8.28515625" customWidth="1"/>
    <col min="15" max="15" width="1.140625" customWidth="1"/>
    <col min="16" max="16" width="8.85546875" customWidth="1"/>
    <col min="17" max="17" width="9" customWidth="1"/>
    <col min="18" max="18" width="9.28515625" customWidth="1"/>
    <col min="19" max="19" width="1.42578125" customWidth="1"/>
    <col min="20" max="20" width="9.85546875" customWidth="1"/>
    <col min="21" max="21" width="1.140625" customWidth="1"/>
    <col min="22" max="22" width="9.5703125" customWidth="1"/>
    <col min="23" max="23" width="1.7109375" customWidth="1"/>
    <col min="24" max="24" width="9.7109375" customWidth="1"/>
    <col min="25" max="25" width="1.28515625" customWidth="1"/>
    <col min="26" max="26" width="10.140625" bestFit="1" customWidth="1"/>
    <col min="27" max="27" width="0.85546875" customWidth="1"/>
    <col min="28" max="28" width="9" bestFit="1" customWidth="1"/>
    <col min="29" max="29" width="1.140625" customWidth="1"/>
    <col min="30" max="30" width="9" bestFit="1" customWidth="1"/>
    <col min="31" max="31" width="1.28515625" customWidth="1"/>
    <col min="33" max="33" width="1.140625" customWidth="1"/>
    <col min="34" max="34" width="9" bestFit="1" customWidth="1"/>
    <col min="35" max="35" width="1.28515625" customWidth="1"/>
    <col min="36" max="36" width="10.42578125" bestFit="1" customWidth="1"/>
  </cols>
  <sheetData>
    <row r="1" spans="2:26" x14ac:dyDescent="0.25">
      <c r="B1" s="2" t="s">
        <v>100</v>
      </c>
    </row>
    <row r="2" spans="2:26" x14ac:dyDescent="0.25">
      <c r="B2" s="74" t="s">
        <v>47</v>
      </c>
      <c r="D2" s="2" t="s">
        <v>101</v>
      </c>
      <c r="E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2:26" x14ac:dyDescent="0.25">
      <c r="B3" s="76">
        <v>43804</v>
      </c>
    </row>
    <row r="4" spans="2:26" x14ac:dyDescent="0.25">
      <c r="D4" s="107" t="s">
        <v>155</v>
      </c>
      <c r="E4" s="107"/>
      <c r="F4" s="107"/>
      <c r="G4" s="107"/>
      <c r="H4" s="107"/>
      <c r="L4" s="107" t="s">
        <v>156</v>
      </c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</row>
    <row r="5" spans="2:26" x14ac:dyDescent="0.25">
      <c r="B5" s="35" t="s">
        <v>102</v>
      </c>
      <c r="C5" s="35"/>
      <c r="D5" s="35" t="s">
        <v>3</v>
      </c>
      <c r="E5" s="35"/>
      <c r="F5" s="35" t="s">
        <v>4</v>
      </c>
      <c r="G5" s="35"/>
      <c r="H5" s="35" t="s">
        <v>5</v>
      </c>
      <c r="I5" s="35"/>
      <c r="J5" s="35"/>
      <c r="K5" s="35"/>
      <c r="L5" s="35" t="s">
        <v>103</v>
      </c>
      <c r="M5" s="35"/>
      <c r="N5" s="35" t="s">
        <v>104</v>
      </c>
      <c r="O5" s="35"/>
      <c r="P5" s="35" t="s">
        <v>105</v>
      </c>
      <c r="Q5" s="35"/>
      <c r="R5" s="35" t="s">
        <v>106</v>
      </c>
      <c r="S5" s="35"/>
      <c r="T5" s="35" t="s">
        <v>107</v>
      </c>
      <c r="U5" s="35"/>
      <c r="V5" s="35" t="s">
        <v>11</v>
      </c>
      <c r="W5" s="35"/>
      <c r="X5" s="35" t="s">
        <v>108</v>
      </c>
      <c r="Y5" s="35"/>
      <c r="Z5" s="35" t="s">
        <v>10</v>
      </c>
    </row>
    <row r="6" spans="2:26" x14ac:dyDescent="0.25">
      <c r="B6" s="70"/>
      <c r="C6" s="73"/>
      <c r="D6" s="29">
        <v>392</v>
      </c>
      <c r="E6" s="29"/>
      <c r="F6" s="29">
        <v>132</v>
      </c>
      <c r="G6" s="29"/>
      <c r="H6" s="29">
        <v>117</v>
      </c>
      <c r="I6" s="29"/>
      <c r="J6" s="29"/>
      <c r="K6" s="29"/>
      <c r="L6" s="29">
        <v>124</v>
      </c>
      <c r="M6" s="29"/>
      <c r="N6" s="29">
        <v>26</v>
      </c>
      <c r="O6" s="29"/>
      <c r="P6" s="29">
        <v>286</v>
      </c>
      <c r="Q6" s="29"/>
      <c r="R6" s="29"/>
      <c r="S6" s="29"/>
      <c r="T6" s="29">
        <v>6</v>
      </c>
      <c r="U6" s="29"/>
      <c r="V6" s="29">
        <v>67</v>
      </c>
      <c r="W6" s="29"/>
      <c r="X6" s="29">
        <v>11</v>
      </c>
      <c r="Y6" s="29"/>
      <c r="Z6" s="29">
        <v>144</v>
      </c>
    </row>
    <row r="7" spans="2:26" x14ac:dyDescent="0.25">
      <c r="B7" s="70"/>
      <c r="C7" s="70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>
        <v>20</v>
      </c>
      <c r="W7" s="29"/>
      <c r="X7" s="29"/>
      <c r="Y7" s="29"/>
      <c r="Z7" s="29"/>
    </row>
    <row r="8" spans="2:26" x14ac:dyDescent="0.25">
      <c r="B8" s="70"/>
      <c r="C8" s="73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>
        <v>34</v>
      </c>
      <c r="W8" s="29"/>
      <c r="X8" s="29"/>
      <c r="Y8" s="29"/>
      <c r="Z8" s="29"/>
    </row>
    <row r="9" spans="2:26" x14ac:dyDescent="0.25">
      <c r="B9" s="70"/>
      <c r="C9" s="73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2:26" x14ac:dyDescent="0.25">
      <c r="B10" s="70"/>
      <c r="C10" s="73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2:26" x14ac:dyDescent="0.25">
      <c r="B11" s="73"/>
      <c r="C11" s="73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2:26" x14ac:dyDescent="0.25">
      <c r="B12" s="73"/>
      <c r="C12" s="73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2:26" x14ac:dyDescent="0.25">
      <c r="B13" s="73"/>
      <c r="C13" s="73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2:26" x14ac:dyDescent="0.25">
      <c r="B14" s="73"/>
      <c r="C14" s="73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2:26" x14ac:dyDescent="0.25">
      <c r="B15" s="73"/>
      <c r="C15" s="73"/>
      <c r="D15" s="47"/>
      <c r="E15" s="29"/>
      <c r="F15" s="47"/>
      <c r="G15" s="29"/>
      <c r="H15" s="47"/>
      <c r="I15" s="29"/>
      <c r="J15" s="29"/>
      <c r="K15" s="29"/>
      <c r="L15" s="47"/>
      <c r="M15" s="29"/>
      <c r="N15" s="47"/>
      <c r="O15" s="29"/>
      <c r="P15" s="47"/>
      <c r="Q15" s="29"/>
      <c r="R15" s="47"/>
      <c r="S15" s="29"/>
      <c r="T15" s="47"/>
      <c r="U15" s="29"/>
      <c r="V15" s="47"/>
      <c r="W15" s="47"/>
      <c r="X15" s="47"/>
      <c r="Y15" s="29"/>
      <c r="Z15" s="47"/>
    </row>
    <row r="16" spans="2:26" s="2" customFormat="1" x14ac:dyDescent="0.25">
      <c r="B16" s="2" t="s">
        <v>109</v>
      </c>
      <c r="D16" s="48">
        <f>SUM(D6:D15)</f>
        <v>392</v>
      </c>
      <c r="E16" s="48"/>
      <c r="F16" s="48">
        <f>SUM(F6:F15)</f>
        <v>132</v>
      </c>
      <c r="G16" s="48"/>
      <c r="H16" s="48">
        <f>SUM(H6:H15)</f>
        <v>117</v>
      </c>
      <c r="I16" s="48"/>
      <c r="J16" s="48"/>
      <c r="K16" s="48"/>
      <c r="L16" s="48">
        <f>SUM(L6:L15)</f>
        <v>124</v>
      </c>
      <c r="M16" s="48"/>
      <c r="N16" s="48">
        <f>SUM(N6:N15)</f>
        <v>26</v>
      </c>
      <c r="O16" s="48"/>
      <c r="P16" s="48">
        <f>SUM(P6:P15)</f>
        <v>286</v>
      </c>
      <c r="Q16" s="48"/>
      <c r="R16" s="48">
        <f>SUM(R6:R15)</f>
        <v>0</v>
      </c>
      <c r="S16" s="48"/>
      <c r="T16" s="48">
        <f>SUM(T6:T15)</f>
        <v>6</v>
      </c>
      <c r="U16" s="48"/>
      <c r="V16" s="48">
        <f>SUM(V6:V15)</f>
        <v>121</v>
      </c>
      <c r="W16" s="48"/>
      <c r="X16" s="48">
        <f>SUM(X6:X15)</f>
        <v>11</v>
      </c>
      <c r="Y16" s="48"/>
      <c r="Z16" s="48">
        <f>SUM(Z6:Z15)</f>
        <v>144</v>
      </c>
    </row>
    <row r="18" spans="2:18" x14ac:dyDescent="0.25">
      <c r="B18" s="2" t="s">
        <v>14</v>
      </c>
      <c r="D18" s="36">
        <f>D16*13</f>
        <v>5096</v>
      </c>
      <c r="E18" s="36"/>
      <c r="F18" s="36">
        <f>F16*8</f>
        <v>1056</v>
      </c>
      <c r="G18" s="36"/>
      <c r="H18" s="36">
        <f>H16*9</f>
        <v>1053</v>
      </c>
    </row>
    <row r="19" spans="2:18" x14ac:dyDescent="0.25">
      <c r="B19" s="2"/>
      <c r="D19" s="17"/>
      <c r="E19" s="17"/>
      <c r="F19" s="17"/>
      <c r="G19" s="17"/>
      <c r="H19" s="17"/>
    </row>
    <row r="20" spans="2:18" x14ac:dyDescent="0.25">
      <c r="B20" s="2" t="s">
        <v>15</v>
      </c>
      <c r="D20" s="71">
        <f>SUM(D18:H18)</f>
        <v>7205</v>
      </c>
      <c r="E20" s="17"/>
      <c r="F20" s="17"/>
      <c r="G20" s="17"/>
      <c r="H20" s="17"/>
      <c r="L20" t="s">
        <v>151</v>
      </c>
      <c r="R20" s="28">
        <f>SUM(L16:Z16)</f>
        <v>718</v>
      </c>
    </row>
    <row r="21" spans="2:18" x14ac:dyDescent="0.25">
      <c r="B21" s="2"/>
      <c r="L21" t="s">
        <v>110</v>
      </c>
      <c r="R21" s="30">
        <f>SUM(D16:H16)</f>
        <v>641</v>
      </c>
    </row>
    <row r="22" spans="2:18" x14ac:dyDescent="0.25">
      <c r="L22" s="2" t="s">
        <v>152</v>
      </c>
      <c r="M22" s="2"/>
      <c r="N22" s="2"/>
      <c r="O22" s="2"/>
      <c r="P22" s="2"/>
      <c r="Q22" s="2"/>
      <c r="R22" s="45">
        <f>R20+R21</f>
        <v>1359</v>
      </c>
    </row>
    <row r="23" spans="2:18" x14ac:dyDescent="0.25">
      <c r="L23" s="35" t="s">
        <v>51</v>
      </c>
      <c r="R23" s="46">
        <v>45</v>
      </c>
    </row>
    <row r="24" spans="2:18" x14ac:dyDescent="0.25">
      <c r="L24" s="35" t="s">
        <v>20</v>
      </c>
      <c r="R24" s="47"/>
    </row>
    <row r="25" spans="2:18" x14ac:dyDescent="0.25">
      <c r="L25" s="2" t="s">
        <v>153</v>
      </c>
      <c r="M25" s="2"/>
      <c r="N25" s="2"/>
      <c r="O25" s="2"/>
      <c r="P25" s="2"/>
      <c r="Q25" s="2"/>
      <c r="R25" s="31">
        <f>SUM(R22:R24)</f>
        <v>1404</v>
      </c>
    </row>
    <row r="26" spans="2:18" x14ac:dyDescent="0.25">
      <c r="F26" t="s">
        <v>59</v>
      </c>
      <c r="R26" s="28"/>
    </row>
    <row r="27" spans="2:18" x14ac:dyDescent="0.25">
      <c r="R27" s="28"/>
    </row>
    <row r="28" spans="2:18" x14ac:dyDescent="0.25">
      <c r="L28" s="35" t="s">
        <v>23</v>
      </c>
      <c r="R28" s="29"/>
    </row>
    <row r="29" spans="2:18" x14ac:dyDescent="0.25">
      <c r="L29" s="35" t="s">
        <v>25</v>
      </c>
      <c r="R29" s="29"/>
    </row>
    <row r="30" spans="2:18" ht="4.9000000000000004" customHeight="1" x14ac:dyDescent="0.25">
      <c r="R30" s="28"/>
    </row>
    <row r="31" spans="2:18" ht="15.75" thickBot="1" x14ac:dyDescent="0.3">
      <c r="L31" s="2" t="s">
        <v>154</v>
      </c>
      <c r="R31" s="32">
        <f>SUM(R25:R30)</f>
        <v>1404</v>
      </c>
    </row>
    <row r="32" spans="2:18" ht="15.75" thickTop="1" x14ac:dyDescent="0.25"/>
    <row r="38" spans="2:36" x14ac:dyDescent="0.25"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2:36" s="22" customFormat="1" ht="29.25" customHeight="1" x14ac:dyDescent="0.25">
      <c r="B39" s="1" t="s">
        <v>111</v>
      </c>
      <c r="C39" s="1"/>
      <c r="D39" s="66" t="s">
        <v>122</v>
      </c>
      <c r="E39" s="66"/>
      <c r="F39" s="66" t="s">
        <v>123</v>
      </c>
      <c r="G39" s="66"/>
      <c r="H39" s="66" t="s">
        <v>124</v>
      </c>
      <c r="I39" s="66"/>
      <c r="J39" s="66" t="s">
        <v>125</v>
      </c>
      <c r="K39" s="66"/>
      <c r="L39" s="66" t="s">
        <v>126</v>
      </c>
      <c r="M39" s="66"/>
      <c r="N39" s="66" t="s">
        <v>127</v>
      </c>
      <c r="O39" s="66"/>
      <c r="P39" s="66" t="s">
        <v>128</v>
      </c>
      <c r="Q39" s="23" t="s">
        <v>130</v>
      </c>
      <c r="R39" s="66" t="s">
        <v>129</v>
      </c>
      <c r="S39" s="67"/>
      <c r="T39" s="68" t="s">
        <v>33</v>
      </c>
      <c r="U39" s="68"/>
      <c r="V39" s="68" t="s">
        <v>98</v>
      </c>
      <c r="W39" s="68"/>
      <c r="X39" s="68" t="s">
        <v>116</v>
      </c>
      <c r="Y39" s="68"/>
      <c r="Z39" s="68" t="s">
        <v>117</v>
      </c>
      <c r="AA39" s="68"/>
      <c r="AB39" s="68" t="s">
        <v>118</v>
      </c>
      <c r="AC39" s="68"/>
      <c r="AD39" s="68" t="s">
        <v>168</v>
      </c>
      <c r="AE39" s="69"/>
      <c r="AF39" s="68" t="s">
        <v>169</v>
      </c>
      <c r="AG39" s="68"/>
      <c r="AH39" s="68" t="s">
        <v>170</v>
      </c>
      <c r="AJ39" s="41" t="s">
        <v>131</v>
      </c>
    </row>
    <row r="40" spans="2:36" x14ac:dyDescent="0.25">
      <c r="D40" s="19">
        <f>50+260+190+30+24</f>
        <v>554</v>
      </c>
      <c r="E40" s="19"/>
      <c r="F40" s="19">
        <f>200+200+200+75+25+25</f>
        <v>725</v>
      </c>
      <c r="G40" s="19"/>
      <c r="H40" s="19">
        <f>200+140+240+25+23</f>
        <v>628</v>
      </c>
      <c r="I40" s="19"/>
      <c r="J40" s="19">
        <f>150+440+190+35+25+18</f>
        <v>858</v>
      </c>
      <c r="K40" s="19"/>
      <c r="L40" s="19">
        <f>140+200+60+25+32</f>
        <v>457</v>
      </c>
      <c r="M40" s="19"/>
      <c r="N40" s="19">
        <f>50+60+230+50+25+22</f>
        <v>437</v>
      </c>
      <c r="O40" s="19"/>
      <c r="P40" s="19">
        <f>220+35+100+43</f>
        <v>398</v>
      </c>
      <c r="Q40" s="19"/>
      <c r="R40" s="19">
        <f>75+260+260+25+9</f>
        <v>629</v>
      </c>
      <c r="S40" s="17"/>
      <c r="T40" s="17">
        <v>75</v>
      </c>
      <c r="U40" s="17"/>
      <c r="V40" s="17">
        <f>6+80+20+55+23</f>
        <v>184</v>
      </c>
      <c r="W40" s="17"/>
      <c r="X40" s="17">
        <f>3+50+160+70+80+25+25+18+5</f>
        <v>436</v>
      </c>
      <c r="Y40" s="17"/>
      <c r="Z40" s="17">
        <f>140+100+110+38</f>
        <v>388</v>
      </c>
      <c r="AA40" s="17"/>
      <c r="AB40" s="17">
        <f>180+60+125+52</f>
        <v>417</v>
      </c>
      <c r="AC40" s="17"/>
      <c r="AD40" s="17">
        <f>3+100+10+50+21</f>
        <v>184</v>
      </c>
      <c r="AE40" s="17"/>
      <c r="AF40" s="17">
        <f>60+80+105+25+17</f>
        <v>287</v>
      </c>
      <c r="AG40" s="17"/>
      <c r="AH40" s="17">
        <f>100+780+90+210+48+28</f>
        <v>1256</v>
      </c>
      <c r="AI40" s="17"/>
      <c r="AJ40" s="17"/>
    </row>
    <row r="41" spans="2:36" x14ac:dyDescent="0.25">
      <c r="B41" s="21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</row>
    <row r="42" spans="2:36" x14ac:dyDescent="0.25">
      <c r="B42" s="21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</row>
    <row r="43" spans="2:36" x14ac:dyDescent="0.25">
      <c r="B43" s="21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</row>
    <row r="44" spans="2:36" x14ac:dyDescent="0.25">
      <c r="D44" s="18"/>
      <c r="E44" s="19"/>
      <c r="F44" s="18"/>
      <c r="G44" s="19"/>
      <c r="H44" s="18"/>
      <c r="I44" s="19"/>
      <c r="J44" s="18"/>
      <c r="K44" s="19"/>
      <c r="L44" s="18"/>
      <c r="M44" s="19"/>
      <c r="N44" s="18"/>
      <c r="O44" s="19"/>
      <c r="P44" s="18"/>
      <c r="Q44" s="19"/>
      <c r="R44" s="18"/>
      <c r="S44" s="17"/>
      <c r="T44" s="18"/>
      <c r="U44" s="17"/>
      <c r="V44" s="18"/>
      <c r="W44" s="18"/>
      <c r="X44" s="18"/>
      <c r="Y44" s="17"/>
      <c r="Z44" s="18"/>
      <c r="AA44" s="17"/>
      <c r="AB44" s="18"/>
      <c r="AC44" s="17"/>
      <c r="AD44" s="18"/>
      <c r="AE44" s="17"/>
      <c r="AF44" s="18"/>
      <c r="AG44" s="17"/>
      <c r="AH44" s="18"/>
      <c r="AI44" s="17"/>
      <c r="AJ44" s="19"/>
    </row>
    <row r="45" spans="2:36" x14ac:dyDescent="0.25">
      <c r="B45" t="s">
        <v>34</v>
      </c>
      <c r="D45" s="17">
        <f>SUM(D40:D44)</f>
        <v>554</v>
      </c>
      <c r="E45" s="19"/>
      <c r="F45" s="17">
        <f t="shared" ref="F45:P45" si="0">SUM(F40:F44)</f>
        <v>725</v>
      </c>
      <c r="G45" s="19"/>
      <c r="H45" s="17">
        <f t="shared" si="0"/>
        <v>628</v>
      </c>
      <c r="I45" s="19"/>
      <c r="J45" s="17">
        <f t="shared" si="0"/>
        <v>858</v>
      </c>
      <c r="K45" s="19"/>
      <c r="L45" s="17">
        <f t="shared" si="0"/>
        <v>457</v>
      </c>
      <c r="M45" s="19"/>
      <c r="N45" s="17">
        <f t="shared" si="0"/>
        <v>437</v>
      </c>
      <c r="O45" s="19"/>
      <c r="P45" s="17">
        <f t="shared" si="0"/>
        <v>398</v>
      </c>
      <c r="Q45" s="19"/>
      <c r="R45" s="17">
        <f>SUM(R40:R44)</f>
        <v>629</v>
      </c>
      <c r="S45" s="17"/>
      <c r="T45" s="17">
        <f t="shared" ref="T45" si="1">SUM(T40:T44)</f>
        <v>75</v>
      </c>
      <c r="U45" s="17"/>
      <c r="V45" s="17">
        <f t="shared" ref="V45" si="2">SUM(V40:V44)</f>
        <v>184</v>
      </c>
      <c r="W45" s="17"/>
      <c r="X45" s="17">
        <f t="shared" ref="X45" si="3">SUM(X40:X44)</f>
        <v>436</v>
      </c>
      <c r="Y45" s="17"/>
      <c r="Z45" s="17">
        <f t="shared" ref="Z45" si="4">SUM(Z40:Z44)</f>
        <v>388</v>
      </c>
      <c r="AA45" s="17"/>
      <c r="AB45" s="17">
        <f t="shared" ref="AB45" si="5">SUM(AB40:AB44)</f>
        <v>417</v>
      </c>
      <c r="AC45" s="17"/>
      <c r="AD45" s="17">
        <f t="shared" ref="AD45:AF45" si="6">SUM(AD40:AD44)</f>
        <v>184</v>
      </c>
      <c r="AE45" s="17"/>
      <c r="AF45" s="17">
        <f t="shared" si="6"/>
        <v>287</v>
      </c>
      <c r="AG45" s="17"/>
      <c r="AH45" s="17">
        <f t="shared" ref="AH45" si="7">SUM(AH40:AH44)</f>
        <v>1256</v>
      </c>
      <c r="AI45" s="17"/>
      <c r="AJ45" s="19"/>
    </row>
    <row r="46" spans="2:36" x14ac:dyDescent="0.25">
      <c r="B46" s="9" t="s">
        <v>112</v>
      </c>
      <c r="D46" s="18" t="e">
        <f>+#REF!</f>
        <v>#REF!</v>
      </c>
      <c r="E46" s="19"/>
      <c r="F46" s="18" t="e">
        <f>+#REF!</f>
        <v>#REF!</v>
      </c>
      <c r="G46" s="19"/>
      <c r="H46" s="18" t="e">
        <f>+#REF!</f>
        <v>#REF!</v>
      </c>
      <c r="I46" s="19"/>
      <c r="J46" s="18" t="e">
        <f>+#REF!</f>
        <v>#REF!</v>
      </c>
      <c r="K46" s="19"/>
      <c r="L46" s="18" t="e">
        <f>+#REF!</f>
        <v>#REF!</v>
      </c>
      <c r="M46" s="38"/>
      <c r="N46" s="18" t="e">
        <f>+#REF!</f>
        <v>#REF!</v>
      </c>
      <c r="O46" s="19"/>
      <c r="P46" s="18" t="e">
        <f>+#REF!</f>
        <v>#REF!</v>
      </c>
      <c r="Q46" s="19"/>
      <c r="R46" s="18" t="e">
        <f>+#REF!</f>
        <v>#REF!</v>
      </c>
      <c r="S46" s="17"/>
      <c r="T46" s="18" t="e">
        <f>+#REF!</f>
        <v>#REF!</v>
      </c>
      <c r="U46" s="17"/>
      <c r="V46" s="18" t="e">
        <f>+#REF!</f>
        <v>#REF!</v>
      </c>
      <c r="W46" s="18"/>
      <c r="X46" s="18">
        <v>150</v>
      </c>
      <c r="Y46" s="17"/>
      <c r="Z46" s="18">
        <v>150</v>
      </c>
      <c r="AA46" s="17"/>
      <c r="AB46" s="18">
        <v>150</v>
      </c>
      <c r="AC46" s="17"/>
      <c r="AD46" s="18">
        <v>100</v>
      </c>
      <c r="AE46" s="17"/>
      <c r="AF46" s="18">
        <v>150</v>
      </c>
      <c r="AG46" s="17"/>
      <c r="AH46" s="18">
        <v>200</v>
      </c>
      <c r="AI46" s="17"/>
      <c r="AJ46" s="18"/>
    </row>
    <row r="47" spans="2:36" x14ac:dyDescent="0.25">
      <c r="B47" s="2" t="s">
        <v>36</v>
      </c>
      <c r="D47" s="42" t="e">
        <f>D45-D46</f>
        <v>#REF!</v>
      </c>
      <c r="E47" s="42"/>
      <c r="F47" s="42" t="e">
        <f t="shared" ref="F47:AF47" si="8">F45-F46</f>
        <v>#REF!</v>
      </c>
      <c r="G47" s="42"/>
      <c r="H47" s="42" t="e">
        <f t="shared" si="8"/>
        <v>#REF!</v>
      </c>
      <c r="I47" s="42"/>
      <c r="J47" s="42" t="e">
        <f t="shared" si="8"/>
        <v>#REF!</v>
      </c>
      <c r="K47" s="42"/>
      <c r="L47" s="42" t="e">
        <f t="shared" si="8"/>
        <v>#REF!</v>
      </c>
      <c r="M47" s="42"/>
      <c r="N47" s="42" t="e">
        <f t="shared" si="8"/>
        <v>#REF!</v>
      </c>
      <c r="O47" s="42"/>
      <c r="P47" s="42" t="e">
        <f t="shared" si="8"/>
        <v>#REF!</v>
      </c>
      <c r="Q47" s="43" t="e">
        <f>SUM(D47:P47)</f>
        <v>#REF!</v>
      </c>
      <c r="R47" s="40" t="e">
        <f t="shared" si="8"/>
        <v>#REF!</v>
      </c>
      <c r="S47" s="40"/>
      <c r="T47" s="40" t="e">
        <f t="shared" si="8"/>
        <v>#REF!</v>
      </c>
      <c r="U47" s="40"/>
      <c r="V47" s="40" t="e">
        <f t="shared" si="8"/>
        <v>#REF!</v>
      </c>
      <c r="W47" s="40"/>
      <c r="X47" s="40">
        <f t="shared" si="8"/>
        <v>286</v>
      </c>
      <c r="Y47" s="40"/>
      <c r="Z47" s="40">
        <f t="shared" si="8"/>
        <v>238</v>
      </c>
      <c r="AA47" s="40"/>
      <c r="AB47" s="40">
        <f t="shared" si="8"/>
        <v>267</v>
      </c>
      <c r="AC47" s="40"/>
      <c r="AD47" s="40">
        <f t="shared" si="8"/>
        <v>84</v>
      </c>
      <c r="AE47" s="40"/>
      <c r="AF47" s="40">
        <f t="shared" si="8"/>
        <v>137</v>
      </c>
      <c r="AG47" s="40"/>
      <c r="AH47" s="40">
        <f t="shared" ref="AH47" si="9">AH45-AH46</f>
        <v>1056</v>
      </c>
      <c r="AI47" s="39"/>
      <c r="AJ47" s="43" t="e">
        <f>SUM(R47:AH47)</f>
        <v>#REF!</v>
      </c>
    </row>
    <row r="48" spans="2:36" x14ac:dyDescent="0.25">
      <c r="B48" s="6" t="s">
        <v>120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44"/>
      <c r="AI48" s="17"/>
      <c r="AJ48" s="36">
        <v>0</v>
      </c>
    </row>
    <row r="49" spans="2:37" ht="15.75" thickBot="1" x14ac:dyDescent="0.3"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49" t="e">
        <f>+Q47+AJ47</f>
        <v>#REF!</v>
      </c>
    </row>
    <row r="50" spans="2:37" ht="15.75" thickTop="1" x14ac:dyDescent="0.25">
      <c r="B50" t="s">
        <v>37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</row>
    <row r="51" spans="2:37" x14ac:dyDescent="0.25"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</row>
    <row r="52" spans="2:37" x14ac:dyDescent="0.25">
      <c r="D52" s="18"/>
      <c r="E52" s="17"/>
      <c r="F52" s="18"/>
      <c r="G52" s="17"/>
      <c r="H52" s="18"/>
      <c r="I52" s="17"/>
      <c r="J52" s="18"/>
      <c r="K52" s="17"/>
      <c r="L52" s="18"/>
      <c r="M52" s="17"/>
      <c r="N52" s="18"/>
      <c r="O52" s="17"/>
      <c r="P52" s="18"/>
      <c r="Q52" s="17"/>
      <c r="R52" s="18"/>
      <c r="S52" s="17"/>
      <c r="T52" s="18"/>
      <c r="U52" s="17"/>
      <c r="V52" s="18"/>
      <c r="W52" s="18"/>
      <c r="X52" s="18"/>
      <c r="Y52" s="17"/>
      <c r="Z52" s="18"/>
      <c r="AA52" s="17"/>
      <c r="AB52" s="18"/>
      <c r="AC52" s="17"/>
      <c r="AD52" s="18"/>
      <c r="AE52" s="17"/>
      <c r="AF52" s="18"/>
      <c r="AG52" s="17"/>
      <c r="AH52" s="18"/>
      <c r="AI52" s="17"/>
      <c r="AJ52" s="18"/>
    </row>
    <row r="53" spans="2:37" s="2" customFormat="1" x14ac:dyDescent="0.25">
      <c r="B53" s="2" t="s">
        <v>38</v>
      </c>
      <c r="D53" s="51">
        <f>SUM(D50:D52)</f>
        <v>0</v>
      </c>
      <c r="E53" s="51"/>
      <c r="F53" s="51">
        <f>SUM(F50:F52)</f>
        <v>0</v>
      </c>
      <c r="G53" s="51"/>
      <c r="H53" s="51">
        <f>SUM(H50:H52)</f>
        <v>0</v>
      </c>
      <c r="I53" s="51"/>
      <c r="J53" s="51">
        <f>SUM(J50:J52)</f>
        <v>0</v>
      </c>
      <c r="K53" s="51"/>
      <c r="L53" s="51">
        <f>SUM(L50:L52)</f>
        <v>0</v>
      </c>
      <c r="M53" s="51"/>
      <c r="N53" s="51">
        <f>SUM(N50:N52)</f>
        <v>0</v>
      </c>
      <c r="O53" s="51"/>
      <c r="P53" s="51">
        <f>SUM(P50:P52)</f>
        <v>0</v>
      </c>
      <c r="Q53" s="51">
        <f>SUM(D53:P53)</f>
        <v>0</v>
      </c>
      <c r="R53" s="51">
        <f>SUM(R50:R52)</f>
        <v>0</v>
      </c>
      <c r="S53" s="51"/>
      <c r="T53" s="51">
        <f>SUM(T50:T52)</f>
        <v>0</v>
      </c>
      <c r="U53" s="51"/>
      <c r="V53" s="51">
        <f>SUM(V50:V52)</f>
        <v>0</v>
      </c>
      <c r="W53" s="51"/>
      <c r="X53" s="51">
        <f>SUM(X50:X52)</f>
        <v>0</v>
      </c>
      <c r="Y53" s="51"/>
      <c r="Z53" s="51">
        <f>SUM(Z50:Z52)</f>
        <v>0</v>
      </c>
      <c r="AA53" s="51"/>
      <c r="AB53" s="51">
        <f>SUM(AB50:AB52)</f>
        <v>0</v>
      </c>
      <c r="AC53" s="51"/>
      <c r="AD53" s="51">
        <f>SUM(AD50:AD52)</f>
        <v>0</v>
      </c>
      <c r="AE53" s="51"/>
      <c r="AF53" s="51">
        <f>SUM(AF50:AF52)</f>
        <v>0</v>
      </c>
      <c r="AG53" s="51"/>
      <c r="AH53" s="51">
        <f>SUM(AH50:AH52)</f>
        <v>0</v>
      </c>
      <c r="AI53" s="51"/>
      <c r="AJ53" s="52">
        <f>SUM(AJ50:AJ52)</f>
        <v>0</v>
      </c>
    </row>
    <row r="54" spans="2:37" x14ac:dyDescent="0.25"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</row>
    <row r="55" spans="2:37" x14ac:dyDescent="0.25"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</row>
    <row r="56" spans="2:37" s="2" customFormat="1" ht="15.75" thickBot="1" x14ac:dyDescent="0.3">
      <c r="B56" s="2" t="s">
        <v>39</v>
      </c>
      <c r="D56" s="50" t="e">
        <f>+D47+D53</f>
        <v>#REF!</v>
      </c>
      <c r="E56" s="36"/>
      <c r="F56" s="50" t="e">
        <f>+F47+F53</f>
        <v>#REF!</v>
      </c>
      <c r="G56" s="36"/>
      <c r="H56" s="50" t="e">
        <f>+H47+H53</f>
        <v>#REF!</v>
      </c>
      <c r="I56" s="36"/>
      <c r="J56" s="50" t="e">
        <f>+J47+J53</f>
        <v>#REF!</v>
      </c>
      <c r="K56" s="36"/>
      <c r="L56" s="50" t="e">
        <f>+L47+L53</f>
        <v>#REF!</v>
      </c>
      <c r="M56" s="36"/>
      <c r="N56" s="50" t="e">
        <f>+N47+N53</f>
        <v>#REF!</v>
      </c>
      <c r="O56" s="36"/>
      <c r="P56" s="50" t="e">
        <f>+P47+P53</f>
        <v>#REF!</v>
      </c>
      <c r="Q56" s="36"/>
      <c r="R56" s="50" t="e">
        <f>+R47+R53</f>
        <v>#REF!</v>
      </c>
      <c r="S56" s="36"/>
      <c r="T56" s="50" t="e">
        <f>+T47+T53</f>
        <v>#REF!</v>
      </c>
      <c r="U56" s="36"/>
      <c r="V56" s="50" t="e">
        <f>+V47+V53</f>
        <v>#REF!</v>
      </c>
      <c r="W56" s="50"/>
      <c r="X56" s="50">
        <f>+X47+X53</f>
        <v>286</v>
      </c>
      <c r="Y56" s="50"/>
      <c r="Z56" s="50">
        <f t="shared" ref="Z56:AF56" si="10">Z47+Z53</f>
        <v>238</v>
      </c>
      <c r="AA56" s="50"/>
      <c r="AB56" s="50">
        <f t="shared" si="10"/>
        <v>267</v>
      </c>
      <c r="AC56" s="50"/>
      <c r="AD56" s="50">
        <f t="shared" si="10"/>
        <v>84</v>
      </c>
      <c r="AE56" s="50"/>
      <c r="AF56" s="50">
        <f t="shared" si="10"/>
        <v>137</v>
      </c>
      <c r="AG56" s="50"/>
      <c r="AH56" s="50">
        <f t="shared" ref="AH56" si="11">AH47+AH53</f>
        <v>1056</v>
      </c>
      <c r="AI56" s="50"/>
      <c r="AJ56" s="53" t="e">
        <f>+Q47+AJ47+AJ53</f>
        <v>#REF!</v>
      </c>
      <c r="AK56" s="2" t="s">
        <v>148</v>
      </c>
    </row>
    <row r="57" spans="2:37" ht="15.75" thickTop="1" x14ac:dyDescent="0.25"/>
    <row r="58" spans="2:37" x14ac:dyDescent="0.25"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</row>
    <row r="59" spans="2:37" x14ac:dyDescent="0.25">
      <c r="B59" s="72" t="s">
        <v>40</v>
      </c>
      <c r="C59" s="54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6">
        <f>SUM(D59:AH59)</f>
        <v>0</v>
      </c>
      <c r="AK59" s="2" t="s">
        <v>97</v>
      </c>
    </row>
    <row r="60" spans="2:37" s="2" customFormat="1" x14ac:dyDescent="0.25">
      <c r="B60" s="2" t="s">
        <v>121</v>
      </c>
      <c r="D60" s="58" t="e">
        <f>+D59+D56</f>
        <v>#REF!</v>
      </c>
      <c r="E60" s="36"/>
      <c r="F60" s="58" t="e">
        <f t="shared" ref="F60:P60" si="12">+F59+F56</f>
        <v>#REF!</v>
      </c>
      <c r="G60" s="36"/>
      <c r="H60" s="58" t="e">
        <f t="shared" si="12"/>
        <v>#REF!</v>
      </c>
      <c r="I60" s="36"/>
      <c r="J60" s="58" t="e">
        <f t="shared" si="12"/>
        <v>#REF!</v>
      </c>
      <c r="K60" s="36"/>
      <c r="L60" s="58" t="e">
        <f t="shared" si="12"/>
        <v>#REF!</v>
      </c>
      <c r="M60" s="36"/>
      <c r="N60" s="58" t="e">
        <f t="shared" si="12"/>
        <v>#REF!</v>
      </c>
      <c r="O60" s="36"/>
      <c r="P60" s="58" t="e">
        <f t="shared" si="12"/>
        <v>#REF!</v>
      </c>
      <c r="Q60" s="36"/>
      <c r="R60" s="58" t="e">
        <f t="shared" ref="R60:AH60" si="13">+R59+R56</f>
        <v>#REF!</v>
      </c>
      <c r="S60" s="36">
        <f t="shared" si="13"/>
        <v>0</v>
      </c>
      <c r="T60" s="58" t="e">
        <f t="shared" si="13"/>
        <v>#REF!</v>
      </c>
      <c r="U60" s="36">
        <f t="shared" si="13"/>
        <v>0</v>
      </c>
      <c r="V60" s="58" t="e">
        <f t="shared" si="13"/>
        <v>#REF!</v>
      </c>
      <c r="W60" s="36">
        <f t="shared" si="13"/>
        <v>0</v>
      </c>
      <c r="X60" s="58">
        <f t="shared" si="13"/>
        <v>286</v>
      </c>
      <c r="Y60" s="36">
        <f t="shared" si="13"/>
        <v>0</v>
      </c>
      <c r="Z60" s="58">
        <f t="shared" si="13"/>
        <v>238</v>
      </c>
      <c r="AA60" s="36">
        <f t="shared" si="13"/>
        <v>0</v>
      </c>
      <c r="AB60" s="58">
        <f t="shared" si="13"/>
        <v>267</v>
      </c>
      <c r="AC60" s="36">
        <f t="shared" si="13"/>
        <v>0</v>
      </c>
      <c r="AD60" s="58">
        <f t="shared" si="13"/>
        <v>84</v>
      </c>
      <c r="AE60" s="36">
        <f t="shared" si="13"/>
        <v>0</v>
      </c>
      <c r="AF60" s="58">
        <f t="shared" si="13"/>
        <v>137</v>
      </c>
      <c r="AG60" s="36">
        <f t="shared" si="13"/>
        <v>0</v>
      </c>
      <c r="AH60" s="58">
        <f t="shared" si="13"/>
        <v>1056</v>
      </c>
      <c r="AI60" s="36"/>
      <c r="AJ60" s="59" t="e">
        <f>SUM(AJ56:AJ59)</f>
        <v>#REF!</v>
      </c>
      <c r="AK60" s="2" t="s">
        <v>159</v>
      </c>
    </row>
    <row r="61" spans="2:37" ht="25.5" customHeight="1" x14ac:dyDescent="0.25">
      <c r="D61" s="17"/>
      <c r="E61" s="17"/>
      <c r="F61" s="17" t="s">
        <v>113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 t="s">
        <v>59</v>
      </c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</row>
    <row r="62" spans="2:37" ht="14.45" customHeight="1" x14ac:dyDescent="0.4">
      <c r="B62" s="57" t="s">
        <v>160</v>
      </c>
      <c r="D62" s="77" t="s">
        <v>164</v>
      </c>
      <c r="E62" s="77"/>
      <c r="F62" s="77" t="s">
        <v>162</v>
      </c>
      <c r="G62" s="77"/>
      <c r="H62" s="77" t="s">
        <v>21</v>
      </c>
      <c r="I62" s="17"/>
      <c r="J62" s="17"/>
      <c r="K62" s="17"/>
      <c r="L62" s="108" t="s">
        <v>119</v>
      </c>
      <c r="M62" s="108"/>
      <c r="N62" s="108"/>
      <c r="O62" s="17"/>
      <c r="P62" s="77" t="s">
        <v>164</v>
      </c>
      <c r="Q62" s="77" t="s">
        <v>162</v>
      </c>
      <c r="R62" s="77" t="s">
        <v>21</v>
      </c>
      <c r="S62" s="7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</row>
    <row r="63" spans="2:37" x14ac:dyDescent="0.25">
      <c r="B63" t="s">
        <v>161</v>
      </c>
      <c r="C63" s="20"/>
      <c r="D63" s="17" t="e">
        <f>SUM(D47:P47)+D53:P53</f>
        <v>#REF!</v>
      </c>
      <c r="E63" s="17"/>
      <c r="F63" s="17">
        <f>SUM(D59:P59)</f>
        <v>0</v>
      </c>
      <c r="G63" s="17"/>
      <c r="H63" s="65" t="e">
        <f>SUM(D63:F63)</f>
        <v>#REF!</v>
      </c>
      <c r="I63" s="17"/>
      <c r="J63" s="17"/>
      <c r="K63" s="17"/>
      <c r="M63" s="16"/>
      <c r="N63" s="16" t="s">
        <v>129</v>
      </c>
      <c r="O63" s="17"/>
      <c r="P63" s="17" t="e">
        <f>+R47+R57</f>
        <v>#REF!</v>
      </c>
      <c r="Q63" s="17">
        <f>+R59</f>
        <v>0</v>
      </c>
      <c r="R63" s="17" t="e">
        <f>SUM(P63:Q63)</f>
        <v>#REF!</v>
      </c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</row>
    <row r="64" spans="2:37" x14ac:dyDescent="0.25">
      <c r="B64" t="s">
        <v>166</v>
      </c>
      <c r="C64" s="20"/>
      <c r="D64" s="17"/>
      <c r="E64" s="17"/>
      <c r="F64" s="17"/>
      <c r="G64" s="17"/>
      <c r="H64" s="65"/>
      <c r="I64" s="17"/>
      <c r="J64" s="17"/>
      <c r="K64" s="17"/>
      <c r="L64" s="17"/>
      <c r="M64" s="17"/>
      <c r="N64" s="17" t="s">
        <v>114</v>
      </c>
      <c r="O64" s="17"/>
      <c r="P64" s="17" t="e">
        <f>SUM(T47:AH47)+SUM(T53:AH53)</f>
        <v>#REF!</v>
      </c>
      <c r="Q64" s="17">
        <f>SUM(T59:AH59)</f>
        <v>0</v>
      </c>
      <c r="R64" s="17" t="e">
        <f>SUM(P64:Q64)</f>
        <v>#REF!</v>
      </c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</row>
    <row r="65" spans="2:36" s="36" customFormat="1" ht="15.75" thickBot="1" x14ac:dyDescent="0.3">
      <c r="B65" s="36" t="s">
        <v>149</v>
      </c>
      <c r="D65" s="49" t="e">
        <f>SUM(D63:D64)</f>
        <v>#REF!</v>
      </c>
      <c r="F65" s="49">
        <f>SUM(F63:F64)</f>
        <v>0</v>
      </c>
      <c r="H65" s="60" t="e">
        <f>SUM(H63:H64)</f>
        <v>#REF!</v>
      </c>
      <c r="N65" s="36" t="s">
        <v>115</v>
      </c>
      <c r="P65" s="49" t="e">
        <f>SUM(P63:P64)</f>
        <v>#REF!</v>
      </c>
      <c r="Q65" s="49">
        <f>SUM(Q63:Q64)</f>
        <v>0</v>
      </c>
      <c r="R65" s="60" t="e">
        <f>SUM(R63:R64)</f>
        <v>#REF!</v>
      </c>
      <c r="X65" s="37"/>
      <c r="AH65" s="36" t="s">
        <v>150</v>
      </c>
      <c r="AJ65" s="36" t="e">
        <f>+H65+R65</f>
        <v>#REF!</v>
      </c>
    </row>
    <row r="66" spans="2:36" ht="15.75" thickTop="1" x14ac:dyDescent="0.25">
      <c r="C66" s="109" t="s">
        <v>115</v>
      </c>
      <c r="D66" s="109"/>
      <c r="E66" s="10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</row>
    <row r="67" spans="2:36" x14ac:dyDescent="0.25"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64"/>
      <c r="AH67" s="64"/>
      <c r="AI67" s="64"/>
      <c r="AJ67" s="20"/>
    </row>
    <row r="68" spans="2:36" x14ac:dyDescent="0.25"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 t="s">
        <v>59</v>
      </c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</row>
    <row r="69" spans="2:36" x14ac:dyDescent="0.25">
      <c r="B69" s="2" t="s">
        <v>165</v>
      </c>
      <c r="C69" s="20"/>
      <c r="D69" s="20"/>
      <c r="E69" s="20"/>
      <c r="F69" s="20"/>
      <c r="G69" s="20"/>
      <c r="H69" s="62">
        <f>+D20</f>
        <v>7205</v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</row>
    <row r="70" spans="2:36" ht="15.75" thickBot="1" x14ac:dyDescent="0.3">
      <c r="B70" s="61" t="s">
        <v>163</v>
      </c>
      <c r="C70" s="20"/>
      <c r="D70" s="20"/>
      <c r="E70" s="20"/>
      <c r="F70" s="20"/>
      <c r="G70" s="20"/>
      <c r="H70" s="63" t="e">
        <f>-H69+H65</f>
        <v>#REF!</v>
      </c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</row>
    <row r="71" spans="2:36" ht="15.75" thickTop="1" x14ac:dyDescent="0.25"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</row>
    <row r="72" spans="2:36" x14ac:dyDescent="0.25"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</row>
  </sheetData>
  <mergeCells count="4">
    <mergeCell ref="D4:H4"/>
    <mergeCell ref="L4:Z4"/>
    <mergeCell ref="L62:N62"/>
    <mergeCell ref="C66:E66"/>
  </mergeCells>
  <pageMargins left="0.7" right="0.7" top="0.75" bottom="0.75" header="0.3" footer="0.3"/>
  <pageSetup scale="56" fitToHeight="0" orientation="landscape" r:id="rId1"/>
  <rowBreaks count="1" manualBreakCount="1">
    <brk id="34" max="16383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7"/>
  <sheetViews>
    <sheetView topLeftCell="A40" zoomScaleNormal="100" workbookViewId="0">
      <selection activeCell="A42" sqref="A42"/>
    </sheetView>
  </sheetViews>
  <sheetFormatPr defaultRowHeight="15" x14ac:dyDescent="0.25"/>
  <cols>
    <col min="1" max="1" width="13.7109375" bestFit="1" customWidth="1"/>
    <col min="2" max="2" width="3.140625" style="5" customWidth="1"/>
    <col min="3" max="3" width="11.28515625" style="5" customWidth="1"/>
    <col min="4" max="4" width="3.140625" style="5" customWidth="1"/>
    <col min="5" max="5" width="10.5703125" style="5" bestFit="1" customWidth="1"/>
    <col min="6" max="6" width="3.140625" style="5" customWidth="1"/>
    <col min="7" max="7" width="11.5703125" style="5" bestFit="1" customWidth="1"/>
    <col min="8" max="8" width="3.140625" style="5" customWidth="1"/>
    <col min="9" max="9" width="11.5703125" style="5" bestFit="1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4" s="2" customFormat="1" x14ac:dyDescent="0.25">
      <c r="A3" s="2" t="s">
        <v>0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4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9</v>
      </c>
      <c r="R7" s="4"/>
      <c r="S7" s="4" t="s">
        <v>10</v>
      </c>
      <c r="T7" s="4"/>
      <c r="U7" s="4" t="s">
        <v>11</v>
      </c>
      <c r="V7" s="4"/>
      <c r="W7" s="4" t="s">
        <v>12</v>
      </c>
      <c r="X7" s="4"/>
    </row>
    <row r="8" spans="1:24" x14ac:dyDescent="0.25">
      <c r="C8" s="5">
        <v>150</v>
      </c>
      <c r="E8" s="5">
        <v>57</v>
      </c>
      <c r="G8" s="5">
        <v>69</v>
      </c>
      <c r="K8" s="5">
        <v>31</v>
      </c>
      <c r="M8" s="5">
        <v>2</v>
      </c>
      <c r="O8" s="5">
        <v>2</v>
      </c>
      <c r="S8" s="5">
        <f>42+31</f>
        <v>73</v>
      </c>
      <c r="U8" s="5">
        <v>27</v>
      </c>
      <c r="W8" s="5">
        <v>3</v>
      </c>
    </row>
    <row r="9" spans="1:24" x14ac:dyDescent="0.25">
      <c r="C9" s="5">
        <v>238</v>
      </c>
      <c r="E9" s="5">
        <v>36</v>
      </c>
      <c r="G9" s="5">
        <v>59</v>
      </c>
      <c r="K9" s="5">
        <v>1</v>
      </c>
      <c r="S9" s="5">
        <v>4</v>
      </c>
      <c r="U9" s="5">
        <v>18</v>
      </c>
    </row>
    <row r="10" spans="1:24" x14ac:dyDescent="0.25">
      <c r="C10" s="5">
        <v>344</v>
      </c>
      <c r="E10" s="5">
        <v>53</v>
      </c>
      <c r="G10" s="5">
        <v>108</v>
      </c>
      <c r="K10" s="5">
        <v>41</v>
      </c>
      <c r="M10" s="5">
        <v>11</v>
      </c>
      <c r="O10" s="5">
        <v>12</v>
      </c>
      <c r="Q10" s="5">
        <v>11</v>
      </c>
      <c r="S10" s="5">
        <f>49+6</f>
        <v>55</v>
      </c>
      <c r="U10" s="5">
        <v>35</v>
      </c>
    </row>
    <row r="11" spans="1:24" x14ac:dyDescent="0.25">
      <c r="C11" s="6">
        <v>139</v>
      </c>
      <c r="E11" s="6">
        <v>20</v>
      </c>
      <c r="G11" s="6">
        <v>40</v>
      </c>
      <c r="K11" s="6">
        <v>12</v>
      </c>
      <c r="M11" s="5">
        <v>1</v>
      </c>
      <c r="O11" s="5">
        <v>10</v>
      </c>
      <c r="Q11" s="5">
        <v>30</v>
      </c>
      <c r="S11" s="5">
        <v>27</v>
      </c>
    </row>
    <row r="12" spans="1:24" x14ac:dyDescent="0.25">
      <c r="C12" s="6">
        <v>149</v>
      </c>
      <c r="E12" s="6">
        <v>31</v>
      </c>
      <c r="G12" s="6">
        <v>58</v>
      </c>
      <c r="K12" s="6">
        <v>75</v>
      </c>
      <c r="M12" s="6">
        <v>12</v>
      </c>
      <c r="O12" s="6">
        <v>23</v>
      </c>
      <c r="Q12" s="5">
        <v>9</v>
      </c>
      <c r="S12" s="5">
        <f>20+24+11</f>
        <v>55</v>
      </c>
      <c r="U12" s="6">
        <v>18</v>
      </c>
      <c r="W12" s="5">
        <v>4</v>
      </c>
    </row>
    <row r="13" spans="1:24" x14ac:dyDescent="0.25">
      <c r="C13" s="6">
        <v>218</v>
      </c>
      <c r="E13" s="6">
        <v>49</v>
      </c>
      <c r="G13" s="6">
        <f>94+9</f>
        <v>103</v>
      </c>
      <c r="K13" s="6">
        <v>21</v>
      </c>
      <c r="M13" s="6">
        <v>3</v>
      </c>
      <c r="O13" s="6">
        <v>15</v>
      </c>
      <c r="U13" s="6">
        <v>41</v>
      </c>
    </row>
    <row r="14" spans="1:24" x14ac:dyDescent="0.25">
      <c r="C14" s="6">
        <v>122</v>
      </c>
      <c r="E14" s="6">
        <v>34</v>
      </c>
      <c r="G14" s="6">
        <v>43</v>
      </c>
      <c r="K14" s="6">
        <v>24</v>
      </c>
      <c r="M14" s="6">
        <v>4</v>
      </c>
      <c r="O14" s="6">
        <v>14</v>
      </c>
      <c r="Q14" s="6">
        <v>3</v>
      </c>
      <c r="S14" s="5">
        <f>23+5+9</f>
        <v>37</v>
      </c>
      <c r="U14" s="6">
        <v>19</v>
      </c>
      <c r="W14" s="5">
        <v>4</v>
      </c>
    </row>
    <row r="15" spans="1:24" x14ac:dyDescent="0.25">
      <c r="C15" s="6">
        <v>120</v>
      </c>
      <c r="E15" s="6">
        <v>39</v>
      </c>
      <c r="G15" s="6">
        <v>51</v>
      </c>
      <c r="K15" s="6">
        <v>28</v>
      </c>
      <c r="M15" s="6">
        <v>9</v>
      </c>
      <c r="O15" s="6">
        <v>7</v>
      </c>
      <c r="S15" s="5">
        <f>32+9+2</f>
        <v>43</v>
      </c>
      <c r="U15" s="6">
        <v>4</v>
      </c>
      <c r="W15" s="5">
        <v>14</v>
      </c>
    </row>
    <row r="16" spans="1:24" x14ac:dyDescent="0.25">
      <c r="C16" s="6">
        <v>136</v>
      </c>
      <c r="E16" s="6">
        <v>56</v>
      </c>
      <c r="G16" s="6">
        <v>23</v>
      </c>
      <c r="K16" s="6">
        <v>17</v>
      </c>
      <c r="M16" s="6">
        <v>4</v>
      </c>
      <c r="O16" s="6">
        <v>13</v>
      </c>
      <c r="Q16" s="6">
        <v>8</v>
      </c>
      <c r="S16" s="5">
        <v>82</v>
      </c>
      <c r="U16" s="6">
        <v>26</v>
      </c>
    </row>
    <row r="17" spans="1:23" x14ac:dyDescent="0.25">
      <c r="C17" s="9">
        <v>204</v>
      </c>
      <c r="E17" s="9">
        <v>33</v>
      </c>
      <c r="G17" s="9">
        <v>84</v>
      </c>
      <c r="I17" s="9"/>
      <c r="K17" s="9">
        <v>34</v>
      </c>
      <c r="M17" s="9">
        <v>2</v>
      </c>
      <c r="O17" s="9">
        <v>3</v>
      </c>
      <c r="Q17" s="9">
        <v>9</v>
      </c>
      <c r="S17" s="9">
        <f>42+31+3+8</f>
        <v>84</v>
      </c>
      <c r="U17" s="9">
        <v>27</v>
      </c>
      <c r="W17" s="9">
        <v>3</v>
      </c>
    </row>
    <row r="18" spans="1:23" x14ac:dyDescent="0.25">
      <c r="A18" t="s">
        <v>13</v>
      </c>
      <c r="C18" s="5">
        <f>SUM(C8:C17)</f>
        <v>1820</v>
      </c>
      <c r="E18" s="5">
        <f t="shared" ref="E18:W18" si="0">SUM(E8:E17)</f>
        <v>408</v>
      </c>
      <c r="G18" s="5">
        <f t="shared" si="0"/>
        <v>638</v>
      </c>
      <c r="I18" s="5">
        <f t="shared" si="0"/>
        <v>0</v>
      </c>
      <c r="K18" s="5">
        <f t="shared" si="0"/>
        <v>284</v>
      </c>
      <c r="M18" s="5">
        <f t="shared" si="0"/>
        <v>48</v>
      </c>
      <c r="O18" s="5">
        <f t="shared" si="0"/>
        <v>99</v>
      </c>
      <c r="Q18" s="5">
        <f t="shared" si="0"/>
        <v>70</v>
      </c>
      <c r="S18" s="5">
        <f t="shared" si="0"/>
        <v>460</v>
      </c>
      <c r="U18" s="5">
        <f t="shared" si="0"/>
        <v>215</v>
      </c>
      <c r="W18" s="5">
        <f t="shared" si="0"/>
        <v>28</v>
      </c>
    </row>
    <row r="20" spans="1:23" x14ac:dyDescent="0.25">
      <c r="A20" t="s">
        <v>14</v>
      </c>
    </row>
    <row r="22" spans="1:23" ht="15.75" thickBot="1" x14ac:dyDescent="0.3">
      <c r="A22" t="s">
        <v>15</v>
      </c>
      <c r="C22" s="10">
        <f>+C18*10</f>
        <v>18200</v>
      </c>
      <c r="D22" s="10"/>
      <c r="E22" s="10">
        <f>+E18*7</f>
        <v>2856</v>
      </c>
      <c r="F22" s="10"/>
      <c r="G22" s="13">
        <f>+G18*7</f>
        <v>4466</v>
      </c>
      <c r="K22" s="5" t="s">
        <v>16</v>
      </c>
      <c r="O22" s="5">
        <f>+K18+M18+O18+Q18+S18+U18+W18</f>
        <v>1204</v>
      </c>
    </row>
    <row r="23" spans="1:23" ht="15.75" thickTop="1" x14ac:dyDescent="0.25">
      <c r="G23" s="10">
        <f>+C22+E22+G22</f>
        <v>25522</v>
      </c>
      <c r="K23" s="5" t="s">
        <v>17</v>
      </c>
      <c r="O23" s="9">
        <f>+C18+E18+G18</f>
        <v>2866</v>
      </c>
    </row>
    <row r="24" spans="1:23" x14ac:dyDescent="0.25">
      <c r="K24" s="5" t="s">
        <v>18</v>
      </c>
      <c r="O24" s="5">
        <f>+O22+O23</f>
        <v>4070</v>
      </c>
    </row>
    <row r="25" spans="1:23" x14ac:dyDescent="0.25">
      <c r="C25" s="5" t="s">
        <v>61</v>
      </c>
      <c r="K25" s="6" t="s">
        <v>19</v>
      </c>
      <c r="O25" s="5">
        <v>12</v>
      </c>
    </row>
    <row r="26" spans="1:23" x14ac:dyDescent="0.25">
      <c r="K26" s="6" t="s">
        <v>20</v>
      </c>
      <c r="O26" s="9">
        <v>51</v>
      </c>
    </row>
    <row r="27" spans="1:23" x14ac:dyDescent="0.25">
      <c r="K27" s="6" t="s">
        <v>21</v>
      </c>
      <c r="O27" s="5">
        <f>+O24+O25+O26</f>
        <v>4133</v>
      </c>
    </row>
    <row r="29" spans="1:23" x14ac:dyDescent="0.25">
      <c r="K29" s="6" t="s">
        <v>22</v>
      </c>
    </row>
    <row r="30" spans="1:23" x14ac:dyDescent="0.25">
      <c r="K30" s="6" t="s">
        <v>23</v>
      </c>
      <c r="O30" s="5">
        <v>12</v>
      </c>
    </row>
    <row r="31" spans="1:23" x14ac:dyDescent="0.25">
      <c r="K31" s="6" t="s">
        <v>24</v>
      </c>
    </row>
    <row r="32" spans="1:23" x14ac:dyDescent="0.25">
      <c r="K32" s="6" t="s">
        <v>25</v>
      </c>
      <c r="O32" s="9"/>
    </row>
    <row r="34" spans="1:17" x14ac:dyDescent="0.25">
      <c r="K34" s="6" t="s">
        <v>21</v>
      </c>
      <c r="O34" s="5">
        <f>+O27+O29+O30+O31+O32</f>
        <v>4145</v>
      </c>
    </row>
    <row r="37" spans="1:17" x14ac:dyDescent="0.25">
      <c r="C37" s="10"/>
      <c r="D37" s="10"/>
      <c r="E37" s="10"/>
      <c r="F37" s="10"/>
      <c r="G37" s="10"/>
      <c r="H37" s="10"/>
      <c r="I37" s="12"/>
    </row>
    <row r="41" spans="1:17" x14ac:dyDescent="0.25">
      <c r="A41" t="s">
        <v>62</v>
      </c>
      <c r="C41" s="5" t="s">
        <v>27</v>
      </c>
      <c r="E41" s="5" t="s">
        <v>28</v>
      </c>
      <c r="G41" s="5" t="s">
        <v>29</v>
      </c>
      <c r="I41" s="5" t="s">
        <v>30</v>
      </c>
      <c r="K41" s="5" t="s">
        <v>31</v>
      </c>
      <c r="M41" s="5" t="s">
        <v>32</v>
      </c>
      <c r="Q41" s="5" t="s">
        <v>21</v>
      </c>
    </row>
    <row r="42" spans="1:17" x14ac:dyDescent="0.25">
      <c r="C42" s="5">
        <f>300+208</f>
        <v>508</v>
      </c>
      <c r="E42" s="5">
        <f>160+180+65+25+25+23</f>
        <v>478</v>
      </c>
      <c r="G42" s="5">
        <f>3+100+70+25+22+500+500+500+500+500+500+500+180+350+400+580</f>
        <v>5230</v>
      </c>
      <c r="I42" s="5">
        <f>450+500+500+2+200+110+15+16+500+500+250+300+500+240+260+60+75+25+25+25+50+240+55+100+135+260+500</f>
        <v>5893</v>
      </c>
      <c r="K42" s="5">
        <f>500+20+25+25+60+160+380</f>
        <v>1170</v>
      </c>
      <c r="M42" s="5">
        <f>150+500+500+180+300+55+25+7</f>
        <v>1717</v>
      </c>
    </row>
    <row r="50" spans="1:36" s="7" customFormat="1" ht="15.75" thickBot="1" x14ac:dyDescent="0.3">
      <c r="A50" s="5"/>
      <c r="B50" s="5"/>
      <c r="D50" s="5"/>
      <c r="F50" s="5"/>
      <c r="H50" s="5"/>
      <c r="J50" s="5"/>
      <c r="L50" s="5"/>
      <c r="N50" s="5"/>
      <c r="P50" s="5"/>
      <c r="R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 spans="1:36" x14ac:dyDescent="0.25">
      <c r="A51" t="s">
        <v>34</v>
      </c>
      <c r="C51" s="5">
        <f>SUM(C42:C50)</f>
        <v>508</v>
      </c>
      <c r="E51" s="5">
        <f t="shared" ref="E51:Q51" si="1">SUM(E42:E50)</f>
        <v>478</v>
      </c>
      <c r="G51" s="5">
        <f t="shared" si="1"/>
        <v>5230</v>
      </c>
      <c r="I51" s="5">
        <f t="shared" si="1"/>
        <v>5893</v>
      </c>
      <c r="K51" s="5">
        <f t="shared" si="1"/>
        <v>1170</v>
      </c>
      <c r="M51" s="5">
        <f t="shared" si="1"/>
        <v>1717</v>
      </c>
      <c r="O51" s="5">
        <f t="shared" si="1"/>
        <v>0</v>
      </c>
      <c r="Q51" s="5">
        <f t="shared" si="1"/>
        <v>0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s="7" customFormat="1" ht="15.75" thickBot="1" x14ac:dyDescent="0.3">
      <c r="A52" s="5" t="s">
        <v>35</v>
      </c>
      <c r="B52" s="5"/>
      <c r="C52" s="7">
        <v>300</v>
      </c>
      <c r="D52" s="5"/>
      <c r="E52" s="7">
        <v>300</v>
      </c>
      <c r="F52" s="5"/>
      <c r="G52" s="7">
        <v>580</v>
      </c>
      <c r="H52" s="5"/>
      <c r="I52" s="7">
        <v>300</v>
      </c>
      <c r="J52" s="5"/>
      <c r="K52" s="7">
        <v>300</v>
      </c>
      <c r="L52" s="5"/>
      <c r="M52" s="7">
        <v>300</v>
      </c>
      <c r="N52" s="5"/>
      <c r="P52" s="5"/>
      <c r="R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5" customFormat="1" x14ac:dyDescent="0.25">
      <c r="A53" s="5" t="s">
        <v>36</v>
      </c>
      <c r="C53" s="5">
        <f>+C51-C52</f>
        <v>208</v>
      </c>
      <c r="E53" s="5">
        <f t="shared" ref="E53:M53" si="2">+E51-E52</f>
        <v>178</v>
      </c>
      <c r="G53" s="5">
        <f t="shared" si="2"/>
        <v>4650</v>
      </c>
      <c r="I53" s="5">
        <f t="shared" si="2"/>
        <v>5593</v>
      </c>
      <c r="K53" s="5">
        <f t="shared" si="2"/>
        <v>870</v>
      </c>
      <c r="M53" s="5">
        <f t="shared" si="2"/>
        <v>1417</v>
      </c>
      <c r="Q53" s="5">
        <f>+C53+E53+G53+I53+K53+M53</f>
        <v>12916</v>
      </c>
    </row>
    <row r="56" spans="1:36" x14ac:dyDescent="0.25">
      <c r="A56" t="s">
        <v>37</v>
      </c>
      <c r="G56" s="5">
        <f>40+37+44+84+41+44+91</f>
        <v>381</v>
      </c>
      <c r="I56" s="5">
        <f>47+50+20+40+17+74+20+30+58</f>
        <v>356</v>
      </c>
      <c r="Q56" s="5">
        <f>+C56+E56+G56+I56+K56+M56</f>
        <v>737</v>
      </c>
    </row>
    <row r="58" spans="1:36" s="7" customFormat="1" ht="15.75" thickBot="1" x14ac:dyDescent="0.3">
      <c r="A58" s="5"/>
      <c r="B58" s="5"/>
      <c r="D58" s="5"/>
      <c r="F58" s="5"/>
      <c r="H58" s="5"/>
      <c r="J58" s="5"/>
      <c r="L58" s="5"/>
      <c r="N58" s="5"/>
      <c r="P58" s="5"/>
      <c r="R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 spans="1:36" x14ac:dyDescent="0.25">
      <c r="A59" t="s">
        <v>38</v>
      </c>
      <c r="C59" s="5">
        <f>+C53+C56</f>
        <v>208</v>
      </c>
      <c r="E59" s="5">
        <f t="shared" ref="E59:M59" si="3">+E53+E56</f>
        <v>178</v>
      </c>
      <c r="G59" s="5">
        <f t="shared" si="3"/>
        <v>5031</v>
      </c>
      <c r="I59" s="5">
        <f t="shared" si="3"/>
        <v>5949</v>
      </c>
      <c r="K59" s="5">
        <f t="shared" si="3"/>
        <v>870</v>
      </c>
      <c r="M59" s="5">
        <f t="shared" si="3"/>
        <v>1417</v>
      </c>
      <c r="Q59" s="5">
        <f>+Q53+Q56</f>
        <v>13653</v>
      </c>
    </row>
    <row r="62" spans="1:36" s="8" customFormat="1" ht="15.75" thickBot="1" x14ac:dyDescent="0.3">
      <c r="A62" s="5" t="s">
        <v>39</v>
      </c>
      <c r="B62" s="5"/>
      <c r="C62" s="8">
        <f>+C59</f>
        <v>208</v>
      </c>
      <c r="E62" s="8">
        <f t="shared" ref="E62:Q62" si="4">+E59</f>
        <v>178</v>
      </c>
      <c r="G62" s="8">
        <f t="shared" si="4"/>
        <v>5031</v>
      </c>
      <c r="I62" s="8">
        <f t="shared" si="4"/>
        <v>5949</v>
      </c>
      <c r="K62" s="8">
        <f t="shared" si="4"/>
        <v>870</v>
      </c>
      <c r="M62" s="8">
        <f t="shared" si="4"/>
        <v>1417</v>
      </c>
      <c r="O62" s="8">
        <f t="shared" si="4"/>
        <v>0</v>
      </c>
      <c r="Q62" s="8">
        <f t="shared" si="4"/>
        <v>13653</v>
      </c>
      <c r="R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</row>
    <row r="63" spans="1:36" ht="15.75" thickTop="1" x14ac:dyDescent="0.25"/>
    <row r="64" spans="1:36" x14ac:dyDescent="0.25">
      <c r="A64" t="s">
        <v>40</v>
      </c>
      <c r="C64" s="5">
        <v>3683</v>
      </c>
      <c r="E64" s="5">
        <v>2713</v>
      </c>
      <c r="G64" s="5">
        <v>810</v>
      </c>
    </row>
    <row r="66" spans="1:11" x14ac:dyDescent="0.25">
      <c r="A66" t="s">
        <v>42</v>
      </c>
    </row>
    <row r="67" spans="1:11" x14ac:dyDescent="0.25">
      <c r="A67" t="s">
        <v>41</v>
      </c>
      <c r="C67" s="10">
        <f>+Q59</f>
        <v>13653</v>
      </c>
      <c r="I67" s="5" t="s">
        <v>43</v>
      </c>
      <c r="K67" s="14">
        <f>+C64+E64+G64+I64+K64+M64+C67</f>
        <v>20859</v>
      </c>
    </row>
  </sheetData>
  <pageMargins left="0.7" right="0.7" top="0.75" bottom="0.75" header="0.3" footer="0.3"/>
  <pageSetup scale="76" orientation="landscape" r:id="rId1"/>
  <rowBreaks count="1" manualBreakCount="1">
    <brk id="37" max="22" man="1"/>
  </rowBreaks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topLeftCell="A22" zoomScaleNormal="100" workbookViewId="0">
      <selection activeCell="G36" sqref="G36"/>
    </sheetView>
  </sheetViews>
  <sheetFormatPr defaultRowHeight="15" x14ac:dyDescent="0.25"/>
  <cols>
    <col min="1" max="1" width="13.7109375" bestFit="1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11.5703125" style="5" bestFit="1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44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54</v>
      </c>
      <c r="E8" s="5">
        <v>12</v>
      </c>
      <c r="G8" s="5">
        <v>26</v>
      </c>
      <c r="K8" s="5">
        <v>24</v>
      </c>
      <c r="M8" s="5">
        <v>8</v>
      </c>
      <c r="O8" s="5">
        <v>13</v>
      </c>
      <c r="Q8" s="5">
        <v>6</v>
      </c>
      <c r="S8" s="5">
        <v>6</v>
      </c>
      <c r="U8" s="5">
        <v>22</v>
      </c>
      <c r="Y8">
        <v>48</v>
      </c>
    </row>
    <row r="9" spans="1:25" x14ac:dyDescent="0.25">
      <c r="C9" s="5">
        <v>177</v>
      </c>
      <c r="E9" s="5">
        <v>37</v>
      </c>
      <c r="G9" s="5">
        <v>50</v>
      </c>
      <c r="K9" s="5">
        <v>31</v>
      </c>
      <c r="M9" s="5">
        <v>10</v>
      </c>
      <c r="O9" s="5">
        <v>4</v>
      </c>
      <c r="U9" s="5">
        <v>25</v>
      </c>
      <c r="W9" s="5">
        <v>2</v>
      </c>
      <c r="Y9">
        <v>19</v>
      </c>
    </row>
    <row r="10" spans="1:25" x14ac:dyDescent="0.25">
      <c r="C10" s="5">
        <v>219</v>
      </c>
      <c r="E10" s="5">
        <v>28</v>
      </c>
      <c r="G10" s="5">
        <v>72</v>
      </c>
      <c r="K10" s="5">
        <v>13</v>
      </c>
      <c r="M10" s="5">
        <v>3</v>
      </c>
      <c r="O10" s="5">
        <v>20</v>
      </c>
      <c r="Q10" s="5">
        <v>2</v>
      </c>
      <c r="S10" s="5">
        <v>6</v>
      </c>
      <c r="U10" s="5">
        <v>27</v>
      </c>
      <c r="Y10">
        <v>12</v>
      </c>
    </row>
    <row r="11" spans="1:25" x14ac:dyDescent="0.25">
      <c r="C11" s="6">
        <v>227</v>
      </c>
      <c r="E11" s="6">
        <v>28</v>
      </c>
      <c r="G11" s="6">
        <v>93</v>
      </c>
      <c r="K11" s="6">
        <v>60</v>
      </c>
      <c r="M11" s="6">
        <v>13</v>
      </c>
      <c r="O11" s="6">
        <v>31</v>
      </c>
      <c r="S11" s="5">
        <v>3</v>
      </c>
      <c r="U11" s="6">
        <v>64</v>
      </c>
      <c r="Y11">
        <v>26</v>
      </c>
    </row>
    <row r="12" spans="1:25" x14ac:dyDescent="0.25">
      <c r="C12" s="6">
        <v>165</v>
      </c>
      <c r="E12" s="6">
        <v>17</v>
      </c>
      <c r="G12" s="6">
        <v>62</v>
      </c>
      <c r="K12" s="6">
        <v>10</v>
      </c>
      <c r="M12" s="6">
        <v>2</v>
      </c>
      <c r="O12" s="6">
        <v>1</v>
      </c>
      <c r="U12" s="6">
        <v>12</v>
      </c>
      <c r="Y12">
        <v>7</v>
      </c>
    </row>
    <row r="13" spans="1:25" x14ac:dyDescent="0.25">
      <c r="C13" s="6">
        <v>76</v>
      </c>
      <c r="E13" s="6">
        <v>15</v>
      </c>
      <c r="G13" s="6">
        <v>17</v>
      </c>
      <c r="K13" s="6">
        <v>13</v>
      </c>
      <c r="M13" s="6"/>
      <c r="O13" s="6">
        <v>8</v>
      </c>
      <c r="Q13" s="6">
        <v>4</v>
      </c>
      <c r="S13" s="5">
        <v>3</v>
      </c>
      <c r="U13" s="6">
        <v>19</v>
      </c>
      <c r="Y13">
        <v>16</v>
      </c>
    </row>
    <row r="14" spans="1:25" x14ac:dyDescent="0.25">
      <c r="C14" s="6">
        <v>42</v>
      </c>
      <c r="E14" s="6">
        <v>13</v>
      </c>
      <c r="G14" s="6">
        <v>9</v>
      </c>
      <c r="K14" s="6">
        <v>4</v>
      </c>
      <c r="M14" s="6"/>
      <c r="O14" s="6">
        <v>4</v>
      </c>
      <c r="Q14" s="6"/>
      <c r="U14" s="6"/>
      <c r="Y14">
        <v>48</v>
      </c>
    </row>
    <row r="15" spans="1:25" x14ac:dyDescent="0.25">
      <c r="C15" s="6">
        <v>95</v>
      </c>
      <c r="E15" s="6">
        <v>27</v>
      </c>
      <c r="G15" s="6">
        <v>48</v>
      </c>
      <c r="K15" s="6">
        <v>18</v>
      </c>
      <c r="M15" s="6">
        <v>4</v>
      </c>
      <c r="O15" s="6">
        <v>4</v>
      </c>
      <c r="U15" s="6">
        <v>14</v>
      </c>
    </row>
    <row r="16" spans="1:25" x14ac:dyDescent="0.25">
      <c r="C16" s="6">
        <v>75</v>
      </c>
      <c r="E16" s="6">
        <v>54</v>
      </c>
      <c r="G16" s="6">
        <v>29</v>
      </c>
      <c r="K16" s="6">
        <v>11</v>
      </c>
      <c r="M16" s="6">
        <v>2</v>
      </c>
      <c r="O16" s="6">
        <v>8</v>
      </c>
      <c r="Q16" s="6"/>
      <c r="S16" s="5">
        <v>3</v>
      </c>
      <c r="U16" s="6">
        <v>2</v>
      </c>
    </row>
    <row r="17" spans="1:25" s="5" customFormat="1" x14ac:dyDescent="0.25">
      <c r="C17" s="5">
        <v>44</v>
      </c>
      <c r="E17" s="5">
        <v>11</v>
      </c>
      <c r="G17" s="5">
        <v>16</v>
      </c>
      <c r="K17" s="5">
        <v>11</v>
      </c>
      <c r="U17" s="5">
        <v>1</v>
      </c>
    </row>
    <row r="18" spans="1:25" x14ac:dyDescent="0.25">
      <c r="C18" s="9">
        <v>299</v>
      </c>
      <c r="E18" s="9">
        <v>72</v>
      </c>
      <c r="G18" s="9">
        <v>83</v>
      </c>
      <c r="I18" s="9"/>
      <c r="K18" s="9">
        <v>15</v>
      </c>
      <c r="M18" s="9">
        <v>6</v>
      </c>
      <c r="O18" s="9">
        <v>23</v>
      </c>
      <c r="Q18" s="9"/>
      <c r="S18" s="9">
        <v>5</v>
      </c>
      <c r="U18" s="9">
        <v>21</v>
      </c>
      <c r="W18" s="9">
        <v>1</v>
      </c>
      <c r="Y18" s="9">
        <v>5</v>
      </c>
    </row>
    <row r="19" spans="1:25" x14ac:dyDescent="0.25">
      <c r="A19" t="s">
        <v>13</v>
      </c>
      <c r="C19" s="5">
        <f>SUM(C8:C18)</f>
        <v>1473</v>
      </c>
      <c r="E19" s="5">
        <f t="shared" ref="E19:W19" si="0">SUM(E8:E18)</f>
        <v>314</v>
      </c>
      <c r="G19" s="5">
        <f t="shared" si="0"/>
        <v>505</v>
      </c>
      <c r="I19" s="5">
        <f t="shared" si="0"/>
        <v>0</v>
      </c>
      <c r="K19" s="5">
        <f t="shared" si="0"/>
        <v>210</v>
      </c>
      <c r="M19" s="5">
        <f t="shared" si="0"/>
        <v>48</v>
      </c>
      <c r="O19" s="5">
        <f t="shared" si="0"/>
        <v>116</v>
      </c>
      <c r="Q19" s="5">
        <f t="shared" si="0"/>
        <v>12</v>
      </c>
      <c r="S19" s="5">
        <f t="shared" si="0"/>
        <v>26</v>
      </c>
      <c r="U19" s="5">
        <f t="shared" si="0"/>
        <v>207</v>
      </c>
      <c r="W19" s="5">
        <f t="shared" si="0"/>
        <v>3</v>
      </c>
      <c r="Y19">
        <f>SUM(Y8:Y18)</f>
        <v>181</v>
      </c>
    </row>
    <row r="21" spans="1:25" x14ac:dyDescent="0.25">
      <c r="A21" t="s">
        <v>14</v>
      </c>
    </row>
    <row r="23" spans="1:25" ht="15.75" thickBot="1" x14ac:dyDescent="0.3">
      <c r="A23" t="s">
        <v>15</v>
      </c>
      <c r="G23" s="8"/>
      <c r="K23" s="5" t="s">
        <v>16</v>
      </c>
      <c r="O23" s="5">
        <f>+K19+M19+O19+Q19+S19+U19+W19+Y19</f>
        <v>803</v>
      </c>
    </row>
    <row r="24" spans="1:25" ht="15.75" thickTop="1" x14ac:dyDescent="0.25">
      <c r="G24" s="12"/>
      <c r="K24" s="5" t="s">
        <v>17</v>
      </c>
      <c r="O24" s="9">
        <f>+C19+E19+G19</f>
        <v>2292</v>
      </c>
    </row>
    <row r="25" spans="1:25" x14ac:dyDescent="0.25">
      <c r="K25" s="5" t="s">
        <v>18</v>
      </c>
      <c r="O25" s="5">
        <f>+O23+O24</f>
        <v>3095</v>
      </c>
    </row>
    <row r="26" spans="1:25" x14ac:dyDescent="0.25">
      <c r="K26" s="6" t="s">
        <v>19</v>
      </c>
      <c r="O26" s="5">
        <v>11</v>
      </c>
    </row>
    <row r="27" spans="1:25" x14ac:dyDescent="0.25">
      <c r="K27" s="6" t="s">
        <v>20</v>
      </c>
      <c r="O27" s="9">
        <v>49</v>
      </c>
    </row>
    <row r="28" spans="1:25" x14ac:dyDescent="0.25">
      <c r="K28" s="6" t="s">
        <v>21</v>
      </c>
      <c r="O28" s="5">
        <f>+O25+O26+O27</f>
        <v>3155</v>
      </c>
    </row>
    <row r="30" spans="1:25" x14ac:dyDescent="0.25">
      <c r="K30" s="6" t="s">
        <v>22</v>
      </c>
    </row>
    <row r="31" spans="1:25" x14ac:dyDescent="0.25">
      <c r="K31" s="6" t="s">
        <v>23</v>
      </c>
      <c r="O31" s="5">
        <v>17</v>
      </c>
    </row>
    <row r="32" spans="1:25" x14ac:dyDescent="0.25">
      <c r="K32" s="6" t="s">
        <v>24</v>
      </c>
      <c r="O32" s="5">
        <v>2</v>
      </c>
    </row>
    <row r="33" spans="1:17" x14ac:dyDescent="0.25">
      <c r="K33" s="6" t="s">
        <v>25</v>
      </c>
      <c r="O33" s="9"/>
    </row>
    <row r="35" spans="1:17" x14ac:dyDescent="0.25">
      <c r="K35" s="6" t="s">
        <v>21</v>
      </c>
      <c r="O35" s="5">
        <f>+O28+O30+O31+O32+O33</f>
        <v>3174</v>
      </c>
    </row>
    <row r="42" spans="1:17" x14ac:dyDescent="0.25">
      <c r="A42" t="s">
        <v>26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300+300+10+5+19</f>
        <v>634</v>
      </c>
      <c r="E43" s="5">
        <f>300+100+400+19</f>
        <v>819</v>
      </c>
      <c r="G43" s="5">
        <f>580+200+340+2000+190+11</f>
        <v>3321</v>
      </c>
      <c r="I43" s="5">
        <f>300+5+50+85+70+550+500+500+500+500+100</f>
        <v>3160</v>
      </c>
      <c r="K43" s="5">
        <f>300+200+300+2+560+25+10</f>
        <v>1397</v>
      </c>
      <c r="M43" s="5">
        <f>300+25+25+2+30+10+500+500+500+400+100</f>
        <v>2392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634</v>
      </c>
      <c r="E52" s="5">
        <f t="shared" ref="E52:Q52" si="1">SUM(E43:E51)</f>
        <v>819</v>
      </c>
      <c r="G52" s="5">
        <f t="shared" si="1"/>
        <v>3321</v>
      </c>
      <c r="I52" s="5">
        <f t="shared" si="1"/>
        <v>3160</v>
      </c>
      <c r="K52" s="5">
        <f t="shared" si="1"/>
        <v>1397</v>
      </c>
      <c r="M52" s="5">
        <f t="shared" si="1"/>
        <v>2392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300</v>
      </c>
      <c r="F53" s="5"/>
      <c r="G53" s="7">
        <v>580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334</v>
      </c>
      <c r="E54" s="5">
        <f t="shared" ref="E54:M54" si="2">+E52-E53</f>
        <v>519</v>
      </c>
      <c r="G54" s="5">
        <f t="shared" si="2"/>
        <v>2741</v>
      </c>
      <c r="I54" s="5">
        <f t="shared" si="2"/>
        <v>2860</v>
      </c>
      <c r="K54" s="5">
        <f t="shared" si="2"/>
        <v>1097</v>
      </c>
      <c r="M54" s="5">
        <f t="shared" si="2"/>
        <v>2092</v>
      </c>
      <c r="Q54" s="5">
        <f>+C54+E54+G54+I54+K54+M54</f>
        <v>9643</v>
      </c>
    </row>
    <row r="57" spans="1:36" x14ac:dyDescent="0.25">
      <c r="A57" t="s">
        <v>37</v>
      </c>
      <c r="G57" s="5">
        <f>20+41+47+34</f>
        <v>142</v>
      </c>
      <c r="I57" s="5">
        <f>63+30+20+68+44+37+37</f>
        <v>299</v>
      </c>
      <c r="Q57" s="5">
        <f>+C57+E57+G57+I57+K57+M57+O57</f>
        <v>441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334</v>
      </c>
      <c r="E60" s="5">
        <f t="shared" ref="E60:M60" si="3">+E54+E57</f>
        <v>519</v>
      </c>
      <c r="G60" s="5">
        <f t="shared" si="3"/>
        <v>2883</v>
      </c>
      <c r="I60" s="5">
        <f t="shared" si="3"/>
        <v>3159</v>
      </c>
      <c r="K60" s="5">
        <f t="shared" si="3"/>
        <v>1097</v>
      </c>
      <c r="M60" s="5">
        <f t="shared" si="3"/>
        <v>2092</v>
      </c>
      <c r="Q60" s="5">
        <f>+Q54+Q57</f>
        <v>10084</v>
      </c>
    </row>
    <row r="63" spans="1:36" s="8" customFormat="1" ht="15.75" thickBot="1" x14ac:dyDescent="0.3">
      <c r="A63" s="5" t="s">
        <v>39</v>
      </c>
      <c r="B63" s="5"/>
      <c r="C63" s="8">
        <f>+C60</f>
        <v>334</v>
      </c>
      <c r="E63" s="8">
        <f t="shared" ref="E63:Q63" si="4">+E60</f>
        <v>519</v>
      </c>
      <c r="G63" s="8">
        <f t="shared" si="4"/>
        <v>2883</v>
      </c>
      <c r="I63" s="8">
        <f t="shared" si="4"/>
        <v>3159</v>
      </c>
      <c r="K63" s="8">
        <f t="shared" si="4"/>
        <v>1097</v>
      </c>
      <c r="M63" s="8">
        <f t="shared" si="4"/>
        <v>2092</v>
      </c>
      <c r="O63" s="8">
        <f t="shared" si="4"/>
        <v>0</v>
      </c>
      <c r="Q63" s="8">
        <f t="shared" si="4"/>
        <v>10084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1" x14ac:dyDescent="0.25">
      <c r="A65" t="s">
        <v>40</v>
      </c>
      <c r="C65" s="5">
        <v>3076</v>
      </c>
      <c r="E65" s="5">
        <v>2857</v>
      </c>
    </row>
    <row r="67" spans="1:11" x14ac:dyDescent="0.25">
      <c r="A67" t="s">
        <v>42</v>
      </c>
    </row>
    <row r="68" spans="1:11" x14ac:dyDescent="0.25">
      <c r="A68" t="s">
        <v>41</v>
      </c>
      <c r="C68" s="10">
        <f>+Q60</f>
        <v>10084</v>
      </c>
      <c r="I68" s="5" t="s">
        <v>43</v>
      </c>
      <c r="K68" s="14">
        <f>+C68+C65+E65+G65+I65+K65+M65+O65</f>
        <v>16017</v>
      </c>
    </row>
  </sheetData>
  <pageMargins left="0.7" right="0.7" top="0.75" bottom="0.75" header="0.3" footer="0.3"/>
  <pageSetup scale="72" orientation="landscape" r:id="rId1"/>
  <rowBreaks count="1" manualBreakCount="1">
    <brk id="3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zoomScaleNormal="100" workbookViewId="0">
      <selection activeCell="O27" sqref="O27"/>
    </sheetView>
  </sheetViews>
  <sheetFormatPr defaultRowHeight="15" x14ac:dyDescent="0.25"/>
  <cols>
    <col min="1" max="1" width="13.7109375" bestFit="1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48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125</v>
      </c>
      <c r="E8" s="5">
        <v>13</v>
      </c>
      <c r="G8" s="5">
        <v>12</v>
      </c>
      <c r="K8" s="5">
        <v>16</v>
      </c>
      <c r="M8" s="5">
        <v>4</v>
      </c>
      <c r="O8" s="5">
        <v>3</v>
      </c>
      <c r="S8" s="5">
        <v>3</v>
      </c>
      <c r="U8" s="5">
        <v>19</v>
      </c>
      <c r="W8" s="5">
        <v>10</v>
      </c>
      <c r="Y8">
        <v>46</v>
      </c>
    </row>
    <row r="9" spans="1:25" x14ac:dyDescent="0.25">
      <c r="C9" s="5">
        <v>96</v>
      </c>
      <c r="E9" s="5">
        <v>7</v>
      </c>
      <c r="G9" s="5">
        <v>25</v>
      </c>
      <c r="K9" s="5">
        <v>11</v>
      </c>
      <c r="M9" s="5">
        <v>6</v>
      </c>
      <c r="O9" s="5">
        <v>8</v>
      </c>
      <c r="S9" s="5">
        <v>3</v>
      </c>
      <c r="U9" s="5">
        <v>24</v>
      </c>
    </row>
    <row r="10" spans="1:25" x14ac:dyDescent="0.25">
      <c r="C10" s="5">
        <f>89+6</f>
        <v>95</v>
      </c>
      <c r="E10" s="5">
        <v>23</v>
      </c>
      <c r="G10" s="5">
        <v>32</v>
      </c>
      <c r="K10" s="5">
        <v>25</v>
      </c>
      <c r="M10" s="5">
        <v>8</v>
      </c>
      <c r="O10" s="5">
        <v>6</v>
      </c>
      <c r="S10" s="5">
        <v>2</v>
      </c>
      <c r="U10" s="5">
        <v>22</v>
      </c>
    </row>
    <row r="11" spans="1:25" x14ac:dyDescent="0.25">
      <c r="C11" s="6">
        <v>95</v>
      </c>
      <c r="E11" s="6">
        <v>46</v>
      </c>
      <c r="G11" s="6">
        <v>49</v>
      </c>
      <c r="K11" s="6">
        <v>13</v>
      </c>
      <c r="M11" s="6">
        <v>2</v>
      </c>
      <c r="O11" s="6">
        <v>3</v>
      </c>
      <c r="S11" s="6">
        <v>5</v>
      </c>
      <c r="U11" s="6">
        <v>10</v>
      </c>
    </row>
    <row r="12" spans="1:25" x14ac:dyDescent="0.25">
      <c r="C12" s="6">
        <v>110</v>
      </c>
      <c r="E12" s="6">
        <v>44</v>
      </c>
      <c r="G12" s="6">
        <v>2</v>
      </c>
      <c r="K12" s="6"/>
      <c r="M12" s="6"/>
      <c r="O12" s="6">
        <v>13</v>
      </c>
      <c r="U12" s="6">
        <v>4</v>
      </c>
    </row>
    <row r="13" spans="1:25" x14ac:dyDescent="0.25">
      <c r="C13" s="6"/>
      <c r="E13" s="6">
        <v>9</v>
      </c>
      <c r="G13" s="6">
        <v>39</v>
      </c>
      <c r="K13" s="6"/>
      <c r="M13" s="6"/>
      <c r="O13" s="6"/>
      <c r="Q13" s="6"/>
      <c r="U13" s="6"/>
    </row>
    <row r="14" spans="1:25" x14ac:dyDescent="0.25">
      <c r="C14" s="6"/>
      <c r="E14" s="6"/>
      <c r="G14" s="6"/>
      <c r="K14" s="6"/>
      <c r="M14" s="6"/>
      <c r="O14" s="6"/>
      <c r="Q14" s="6"/>
      <c r="U14" s="6"/>
    </row>
    <row r="15" spans="1:25" x14ac:dyDescent="0.25">
      <c r="C15" s="6"/>
      <c r="E15" s="6"/>
      <c r="G15" s="6"/>
      <c r="K15" s="6"/>
      <c r="M15" s="6"/>
      <c r="O15" s="6"/>
      <c r="U15" s="6"/>
    </row>
    <row r="16" spans="1:25" x14ac:dyDescent="0.25">
      <c r="C16" s="6"/>
      <c r="E16" s="6"/>
      <c r="G16" s="6"/>
      <c r="K16" s="6"/>
      <c r="M16" s="6"/>
      <c r="O16" s="6"/>
      <c r="Q16" s="6"/>
      <c r="U16" s="6"/>
    </row>
    <row r="17" spans="1:25" s="5" customFormat="1" x14ac:dyDescent="0.25"/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521</v>
      </c>
      <c r="E19" s="5">
        <f t="shared" ref="E19:W19" si="0">SUM(E8:E18)</f>
        <v>142</v>
      </c>
      <c r="G19" s="5">
        <f t="shared" si="0"/>
        <v>159</v>
      </c>
      <c r="I19" s="5">
        <f t="shared" si="0"/>
        <v>0</v>
      </c>
      <c r="K19" s="5">
        <f t="shared" si="0"/>
        <v>65</v>
      </c>
      <c r="M19" s="5">
        <f t="shared" si="0"/>
        <v>20</v>
      </c>
      <c r="O19" s="5">
        <f t="shared" si="0"/>
        <v>33</v>
      </c>
      <c r="Q19" s="5">
        <f t="shared" si="0"/>
        <v>0</v>
      </c>
      <c r="S19" s="5">
        <f t="shared" si="0"/>
        <v>13</v>
      </c>
      <c r="U19" s="5">
        <f t="shared" si="0"/>
        <v>79</v>
      </c>
      <c r="W19" s="5">
        <f t="shared" si="0"/>
        <v>10</v>
      </c>
      <c r="Y19">
        <f>SUM(Y8:Y18)</f>
        <v>46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266</v>
      </c>
    </row>
    <row r="24" spans="1:25" x14ac:dyDescent="0.25">
      <c r="K24" s="5" t="s">
        <v>17</v>
      </c>
      <c r="O24" s="9">
        <f>+C19+E19+G19</f>
        <v>822</v>
      </c>
    </row>
    <row r="25" spans="1:25" x14ac:dyDescent="0.25">
      <c r="K25" s="5" t="s">
        <v>18</v>
      </c>
      <c r="O25" s="5">
        <f>+O23+O24</f>
        <v>1088</v>
      </c>
    </row>
    <row r="26" spans="1:25" x14ac:dyDescent="0.25">
      <c r="K26" s="6" t="s">
        <v>19</v>
      </c>
      <c r="O26" s="5">
        <v>9</v>
      </c>
    </row>
    <row r="27" spans="1:25" x14ac:dyDescent="0.25">
      <c r="K27" s="6" t="s">
        <v>20</v>
      </c>
      <c r="O27" s="9">
        <v>46</v>
      </c>
    </row>
    <row r="28" spans="1:25" x14ac:dyDescent="0.25">
      <c r="K28" s="6" t="s">
        <v>21</v>
      </c>
      <c r="O28" s="5">
        <f>+O25+O26+O27</f>
        <v>1143</v>
      </c>
    </row>
    <row r="30" spans="1:25" x14ac:dyDescent="0.25">
      <c r="K30" s="6" t="s">
        <v>22</v>
      </c>
    </row>
    <row r="31" spans="1:25" x14ac:dyDescent="0.25">
      <c r="K31" s="6" t="s">
        <v>23</v>
      </c>
      <c r="O31" s="5">
        <v>6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v>71</v>
      </c>
    </row>
    <row r="35" spans="1:17" x14ac:dyDescent="0.25">
      <c r="K35" s="6" t="s">
        <v>21</v>
      </c>
      <c r="O35" s="5">
        <f>+O28+O30+O31+O32+O33</f>
        <v>1220</v>
      </c>
    </row>
    <row r="42" spans="1:17" x14ac:dyDescent="0.25">
      <c r="A42" t="s">
        <v>26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v>526</v>
      </c>
      <c r="E43" s="5">
        <v>672</v>
      </c>
      <c r="G43" s="5">
        <v>1510</v>
      </c>
      <c r="I43" s="5">
        <v>1474</v>
      </c>
      <c r="K43" s="5">
        <v>520</v>
      </c>
      <c r="M43" s="5">
        <v>576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526</v>
      </c>
      <c r="E52" s="5">
        <f t="shared" ref="E52:Q52" si="1">SUM(E43:E51)</f>
        <v>672</v>
      </c>
      <c r="G52" s="5">
        <f t="shared" si="1"/>
        <v>1510</v>
      </c>
      <c r="I52" s="5">
        <f t="shared" si="1"/>
        <v>1474</v>
      </c>
      <c r="K52" s="5">
        <f t="shared" si="1"/>
        <v>520</v>
      </c>
      <c r="M52" s="5">
        <f t="shared" si="1"/>
        <v>576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300</v>
      </c>
      <c r="F53" s="5"/>
      <c r="G53" s="7">
        <v>580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226</v>
      </c>
      <c r="E54" s="5">
        <f t="shared" ref="E54:M54" si="2">+E52-E53</f>
        <v>372</v>
      </c>
      <c r="G54" s="5">
        <f t="shared" si="2"/>
        <v>930</v>
      </c>
      <c r="I54" s="5">
        <f t="shared" si="2"/>
        <v>1174</v>
      </c>
      <c r="K54" s="5">
        <f t="shared" si="2"/>
        <v>220</v>
      </c>
      <c r="M54" s="5">
        <f t="shared" si="2"/>
        <v>276</v>
      </c>
      <c r="Q54" s="5">
        <f>+C54+E54+G54+I54+K54+M54</f>
        <v>3198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226</v>
      </c>
      <c r="E60" s="5">
        <f t="shared" ref="E60:M60" si="3">+E54+E57</f>
        <v>372</v>
      </c>
      <c r="G60" s="5">
        <f t="shared" si="3"/>
        <v>930</v>
      </c>
      <c r="I60" s="5">
        <f t="shared" si="3"/>
        <v>1174</v>
      </c>
      <c r="K60" s="5">
        <f t="shared" si="3"/>
        <v>220</v>
      </c>
      <c r="M60" s="5">
        <f t="shared" si="3"/>
        <v>276</v>
      </c>
      <c r="Q60" s="5">
        <f>+Q54+Q57</f>
        <v>3198</v>
      </c>
    </row>
    <row r="63" spans="1:36" s="8" customFormat="1" ht="15.75" thickBot="1" x14ac:dyDescent="0.3">
      <c r="A63" s="5" t="s">
        <v>39</v>
      </c>
      <c r="B63" s="5"/>
      <c r="C63" s="8">
        <f>+C60</f>
        <v>226</v>
      </c>
      <c r="E63" s="8">
        <f t="shared" ref="E63:Q63" si="4">+E60</f>
        <v>372</v>
      </c>
      <c r="G63" s="8">
        <f t="shared" si="4"/>
        <v>930</v>
      </c>
      <c r="I63" s="8">
        <f t="shared" si="4"/>
        <v>1174</v>
      </c>
      <c r="K63" s="8">
        <f t="shared" si="4"/>
        <v>220</v>
      </c>
      <c r="M63" s="8">
        <f t="shared" si="4"/>
        <v>276</v>
      </c>
      <c r="O63" s="8">
        <f t="shared" si="4"/>
        <v>0</v>
      </c>
      <c r="Q63" s="8">
        <f t="shared" si="4"/>
        <v>3198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1" x14ac:dyDescent="0.25">
      <c r="A65" t="s">
        <v>40</v>
      </c>
      <c r="C65" s="5">
        <v>1785</v>
      </c>
      <c r="E65" s="5">
        <v>1229</v>
      </c>
    </row>
    <row r="67" spans="1:11" x14ac:dyDescent="0.25">
      <c r="A67" t="s">
        <v>42</v>
      </c>
    </row>
    <row r="68" spans="1:11" x14ac:dyDescent="0.25">
      <c r="A68" t="s">
        <v>41</v>
      </c>
      <c r="C68" s="10">
        <f>+Q60</f>
        <v>3198</v>
      </c>
      <c r="I68" s="5" t="s">
        <v>43</v>
      </c>
      <c r="K68" s="11">
        <f>+C65+E65+G65+I65+K65+M65+C68</f>
        <v>6212</v>
      </c>
    </row>
  </sheetData>
  <pageMargins left="0.25" right="0.25" top="0.75" bottom="0.75" header="0.3" footer="0.3"/>
  <pageSetup scale="75" orientation="landscape" r:id="rId1"/>
  <rowBreaks count="1" manualBreakCount="1">
    <brk id="37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zoomScaleNormal="100" workbookViewId="0">
      <selection activeCell="H72" sqref="H72"/>
    </sheetView>
  </sheetViews>
  <sheetFormatPr defaultRowHeight="15" x14ac:dyDescent="0.25"/>
  <cols>
    <col min="1" max="1" width="13.7109375" bestFit="1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60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26</v>
      </c>
      <c r="E8" s="5">
        <v>6</v>
      </c>
      <c r="G8" s="5">
        <v>3</v>
      </c>
      <c r="K8" s="5">
        <v>3</v>
      </c>
      <c r="M8" s="5">
        <v>2</v>
      </c>
      <c r="O8" s="5">
        <v>3</v>
      </c>
      <c r="Q8" s="5">
        <v>7</v>
      </c>
      <c r="S8" s="5">
        <v>1</v>
      </c>
      <c r="U8" s="5">
        <v>3</v>
      </c>
      <c r="W8" s="5">
        <v>4</v>
      </c>
      <c r="Y8">
        <v>36</v>
      </c>
    </row>
    <row r="9" spans="1:25" x14ac:dyDescent="0.25">
      <c r="C9" s="5">
        <v>244</v>
      </c>
      <c r="E9" s="5">
        <v>108</v>
      </c>
      <c r="G9" s="5">
        <v>103</v>
      </c>
      <c r="O9" s="5">
        <v>34</v>
      </c>
      <c r="S9" s="5">
        <v>9</v>
      </c>
      <c r="U9" s="5">
        <v>59</v>
      </c>
      <c r="W9" s="5">
        <v>13</v>
      </c>
    </row>
    <row r="11" spans="1:25" x14ac:dyDescent="0.25">
      <c r="C11" s="6"/>
      <c r="E11" s="6"/>
      <c r="G11" s="6"/>
      <c r="K11" s="6"/>
      <c r="M11" s="6"/>
      <c r="O11" s="6"/>
      <c r="U11" s="6"/>
    </row>
    <row r="12" spans="1:25" x14ac:dyDescent="0.25">
      <c r="C12" s="6"/>
      <c r="E12" s="6"/>
      <c r="G12" s="6"/>
      <c r="K12" s="6"/>
      <c r="M12" s="6"/>
      <c r="O12" s="6"/>
      <c r="U12" s="6"/>
    </row>
    <row r="13" spans="1:25" x14ac:dyDescent="0.25">
      <c r="C13" s="6"/>
      <c r="E13" s="6"/>
      <c r="G13" s="6"/>
      <c r="K13" s="6"/>
      <c r="M13" s="6"/>
      <c r="O13" s="6"/>
      <c r="Q13" s="6"/>
      <c r="U13" s="6"/>
    </row>
    <row r="14" spans="1:25" x14ac:dyDescent="0.25">
      <c r="C14" s="6"/>
      <c r="E14" s="6"/>
      <c r="G14" s="6"/>
      <c r="K14" s="6"/>
      <c r="M14" s="6"/>
      <c r="O14" s="6"/>
      <c r="Q14" s="6"/>
      <c r="U14" s="6"/>
    </row>
    <row r="15" spans="1:25" x14ac:dyDescent="0.25">
      <c r="C15" s="6"/>
      <c r="E15" s="6"/>
      <c r="G15" s="6"/>
      <c r="K15" s="6"/>
      <c r="M15" s="6"/>
      <c r="O15" s="6"/>
      <c r="U15" s="6"/>
    </row>
    <row r="16" spans="1:25" x14ac:dyDescent="0.25">
      <c r="C16" s="6"/>
      <c r="E16" s="6"/>
      <c r="G16" s="6"/>
      <c r="K16" s="6"/>
      <c r="M16" s="6"/>
      <c r="O16" s="6"/>
      <c r="Q16" s="6"/>
      <c r="U16" s="6"/>
    </row>
    <row r="17" spans="1:25" s="5" customFormat="1" x14ac:dyDescent="0.25"/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270</v>
      </c>
      <c r="E19" s="5">
        <f t="shared" ref="E19:W19" si="0">SUM(E8:E18)</f>
        <v>114</v>
      </c>
      <c r="G19" s="5">
        <f t="shared" si="0"/>
        <v>106</v>
      </c>
      <c r="I19" s="5">
        <f t="shared" si="0"/>
        <v>0</v>
      </c>
      <c r="K19" s="5">
        <f t="shared" si="0"/>
        <v>3</v>
      </c>
      <c r="M19" s="5">
        <f t="shared" si="0"/>
        <v>2</v>
      </c>
      <c r="O19" s="5">
        <f t="shared" si="0"/>
        <v>37</v>
      </c>
      <c r="Q19" s="5">
        <f t="shared" si="0"/>
        <v>7</v>
      </c>
      <c r="S19" s="5">
        <f t="shared" si="0"/>
        <v>10</v>
      </c>
      <c r="U19" s="5">
        <f t="shared" si="0"/>
        <v>62</v>
      </c>
      <c r="W19" s="5">
        <f t="shared" si="0"/>
        <v>17</v>
      </c>
      <c r="Y19">
        <f>SUM(Y8:Y18)</f>
        <v>36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174</v>
      </c>
    </row>
    <row r="24" spans="1:25" x14ac:dyDescent="0.25">
      <c r="K24" s="5" t="s">
        <v>17</v>
      </c>
      <c r="O24" s="9">
        <f>+C19+E19+G19</f>
        <v>490</v>
      </c>
    </row>
    <row r="25" spans="1:25" x14ac:dyDescent="0.25">
      <c r="K25" s="5" t="s">
        <v>18</v>
      </c>
      <c r="O25" s="5">
        <f>+O23+O24</f>
        <v>664</v>
      </c>
    </row>
    <row r="26" spans="1:25" x14ac:dyDescent="0.25">
      <c r="K26" s="6" t="s">
        <v>19</v>
      </c>
      <c r="O26" s="5">
        <v>10</v>
      </c>
    </row>
    <row r="27" spans="1:25" x14ac:dyDescent="0.25">
      <c r="K27" s="6" t="s">
        <v>20</v>
      </c>
      <c r="O27" s="9">
        <v>44</v>
      </c>
    </row>
    <row r="28" spans="1:25" x14ac:dyDescent="0.25">
      <c r="K28" s="6" t="s">
        <v>21</v>
      </c>
      <c r="O28" s="5">
        <f>+O25+O26+O27</f>
        <v>718</v>
      </c>
    </row>
    <row r="30" spans="1:25" x14ac:dyDescent="0.25">
      <c r="K30" s="6" t="s">
        <v>22</v>
      </c>
    </row>
    <row r="31" spans="1:25" x14ac:dyDescent="0.25">
      <c r="K31" s="6" t="s">
        <v>23</v>
      </c>
      <c r="O31" s="5">
        <v>6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v>33</v>
      </c>
    </row>
    <row r="35" spans="1:17" x14ac:dyDescent="0.25">
      <c r="K35" s="6" t="s">
        <v>21</v>
      </c>
      <c r="O35" s="5">
        <f>+O28+O30+O31+O32+O33</f>
        <v>757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100+160+100+75+50+17</f>
        <v>502</v>
      </c>
      <c r="E43" s="5">
        <f>50+240+160+75+50+11</f>
        <v>586</v>
      </c>
      <c r="G43" s="5">
        <f>660+160+60+2+25</f>
        <v>907</v>
      </c>
      <c r="I43" s="5">
        <f>100+900+130+65+25+20</f>
        <v>1240</v>
      </c>
      <c r="K43" s="5">
        <f>20+150+75+75</f>
        <v>320</v>
      </c>
      <c r="M43" s="5">
        <f>40+170+85+75+4</f>
        <v>374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502</v>
      </c>
      <c r="E52" s="5">
        <f t="shared" ref="E52:Q52" si="1">SUM(E43:E51)</f>
        <v>586</v>
      </c>
      <c r="G52" s="5">
        <f t="shared" si="1"/>
        <v>907</v>
      </c>
      <c r="I52" s="5">
        <f t="shared" si="1"/>
        <v>1240</v>
      </c>
      <c r="K52" s="5">
        <f t="shared" si="1"/>
        <v>320</v>
      </c>
      <c r="M52" s="5">
        <f t="shared" si="1"/>
        <v>374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300</v>
      </c>
      <c r="F53" s="5"/>
      <c r="G53" s="7">
        <v>580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202</v>
      </c>
      <c r="E54" s="5">
        <f t="shared" ref="E54:M54" si="2">+E52-E53</f>
        <v>286</v>
      </c>
      <c r="G54" s="5">
        <f t="shared" si="2"/>
        <v>327</v>
      </c>
      <c r="I54" s="5">
        <f t="shared" si="2"/>
        <v>940</v>
      </c>
      <c r="K54" s="5">
        <f t="shared" si="2"/>
        <v>20</v>
      </c>
      <c r="M54" s="5">
        <f t="shared" si="2"/>
        <v>74</v>
      </c>
      <c r="Q54" s="5">
        <f>+C54+E54+G54+I54+K54+M54</f>
        <v>1849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202</v>
      </c>
      <c r="E60" s="5">
        <f t="shared" ref="E60:M60" si="3">+E54+E57</f>
        <v>286</v>
      </c>
      <c r="G60" s="5">
        <f t="shared" si="3"/>
        <v>327</v>
      </c>
      <c r="I60" s="5">
        <f t="shared" si="3"/>
        <v>940</v>
      </c>
      <c r="K60" s="5">
        <f t="shared" si="3"/>
        <v>20</v>
      </c>
      <c r="M60" s="5">
        <f t="shared" si="3"/>
        <v>74</v>
      </c>
      <c r="Q60" s="5">
        <f>+Q54+Q57</f>
        <v>1849</v>
      </c>
    </row>
    <row r="63" spans="1:36" s="8" customFormat="1" ht="15.75" thickBot="1" x14ac:dyDescent="0.3">
      <c r="A63" s="5" t="s">
        <v>39</v>
      </c>
      <c r="B63" s="5"/>
      <c r="C63" s="8">
        <f>+C60</f>
        <v>202</v>
      </c>
      <c r="E63" s="8">
        <f t="shared" ref="E63:Q63" si="4">+E60</f>
        <v>286</v>
      </c>
      <c r="G63" s="8">
        <f t="shared" si="4"/>
        <v>327</v>
      </c>
      <c r="I63" s="8">
        <f t="shared" si="4"/>
        <v>940</v>
      </c>
      <c r="K63" s="8">
        <f t="shared" si="4"/>
        <v>20</v>
      </c>
      <c r="M63" s="8">
        <f t="shared" si="4"/>
        <v>74</v>
      </c>
      <c r="O63" s="8">
        <f t="shared" si="4"/>
        <v>0</v>
      </c>
      <c r="Q63" s="8">
        <f t="shared" si="4"/>
        <v>1849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1" x14ac:dyDescent="0.25">
      <c r="A65" t="s">
        <v>40</v>
      </c>
      <c r="C65" s="5">
        <v>638</v>
      </c>
      <c r="E65" s="5">
        <v>834.01</v>
      </c>
    </row>
    <row r="67" spans="1:11" x14ac:dyDescent="0.25">
      <c r="A67" t="s">
        <v>42</v>
      </c>
    </row>
    <row r="68" spans="1:11" x14ac:dyDescent="0.25">
      <c r="A68" t="s">
        <v>41</v>
      </c>
      <c r="C68" s="10">
        <f>+Q60</f>
        <v>1849</v>
      </c>
      <c r="I68" s="5" t="s">
        <v>43</v>
      </c>
      <c r="K68" s="11">
        <f>+C65+E65+G65+I65+K65+M65+C68</f>
        <v>3321.01</v>
      </c>
    </row>
  </sheetData>
  <pageMargins left="0.7" right="0.7" top="0.75" bottom="0.75" header="0.3" footer="0.3"/>
  <pageSetup scale="73" orientation="landscape" r:id="rId1"/>
  <rowBreaks count="1" manualBreakCount="1">
    <brk id="3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zoomScaleNormal="100" workbookViewId="0">
      <selection activeCell="O27" sqref="O27"/>
    </sheetView>
  </sheetViews>
  <sheetFormatPr defaultRowHeight="15" x14ac:dyDescent="0.25"/>
  <cols>
    <col min="1" max="1" width="13.7109375" bestFit="1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63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21</v>
      </c>
      <c r="E8" s="5">
        <v>16</v>
      </c>
      <c r="G8" s="5">
        <v>9</v>
      </c>
      <c r="O8" s="5">
        <v>2</v>
      </c>
      <c r="U8" s="5">
        <v>7</v>
      </c>
    </row>
    <row r="9" spans="1:25" x14ac:dyDescent="0.25">
      <c r="C9" s="5">
        <v>36</v>
      </c>
      <c r="E9" s="5">
        <v>1</v>
      </c>
      <c r="G9" s="5">
        <v>20</v>
      </c>
      <c r="O9" s="5">
        <v>2</v>
      </c>
      <c r="U9" s="5">
        <v>3</v>
      </c>
    </row>
    <row r="10" spans="1:25" x14ac:dyDescent="0.25">
      <c r="C10" s="5">
        <v>53</v>
      </c>
      <c r="G10" s="5">
        <v>14</v>
      </c>
    </row>
    <row r="11" spans="1:25" x14ac:dyDescent="0.25">
      <c r="C11" s="6">
        <v>28</v>
      </c>
      <c r="E11" s="6">
        <v>9</v>
      </c>
      <c r="G11" s="6">
        <v>6</v>
      </c>
      <c r="K11" s="6"/>
      <c r="M11" s="6"/>
      <c r="O11" s="6">
        <v>7</v>
      </c>
      <c r="U11" s="6">
        <v>2</v>
      </c>
    </row>
    <row r="12" spans="1:25" x14ac:dyDescent="0.25">
      <c r="C12" s="6">
        <v>17</v>
      </c>
      <c r="E12" s="6">
        <v>1</v>
      </c>
      <c r="G12" s="6">
        <v>2</v>
      </c>
      <c r="K12" s="6">
        <v>4</v>
      </c>
      <c r="M12" s="6"/>
      <c r="O12" s="6">
        <v>13</v>
      </c>
      <c r="S12" s="5">
        <v>2</v>
      </c>
      <c r="U12" s="6">
        <v>2</v>
      </c>
    </row>
    <row r="13" spans="1:25" x14ac:dyDescent="0.25">
      <c r="C13" s="6"/>
      <c r="E13" s="6"/>
      <c r="G13" s="6"/>
      <c r="K13" s="6"/>
      <c r="M13" s="6"/>
      <c r="O13" s="6"/>
      <c r="Q13" s="6"/>
      <c r="U13" s="6"/>
    </row>
    <row r="14" spans="1:25" x14ac:dyDescent="0.25">
      <c r="C14" s="6"/>
      <c r="E14" s="6"/>
      <c r="G14" s="6"/>
      <c r="K14" s="6"/>
      <c r="M14" s="6"/>
      <c r="O14" s="6"/>
      <c r="Q14" s="6"/>
      <c r="U14" s="6"/>
    </row>
    <row r="15" spans="1:25" x14ac:dyDescent="0.25">
      <c r="C15" s="6"/>
      <c r="E15" s="6"/>
      <c r="G15" s="6"/>
      <c r="K15" s="6"/>
      <c r="M15" s="6"/>
      <c r="O15" s="6"/>
      <c r="U15" s="6"/>
    </row>
    <row r="16" spans="1:25" x14ac:dyDescent="0.25">
      <c r="C16" s="6"/>
      <c r="E16" s="6"/>
      <c r="G16" s="6"/>
      <c r="K16" s="6"/>
      <c r="M16" s="6"/>
      <c r="O16" s="6"/>
      <c r="Q16" s="6"/>
      <c r="U16" s="6"/>
    </row>
    <row r="17" spans="1:25" s="5" customFormat="1" x14ac:dyDescent="0.25"/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155</v>
      </c>
      <c r="E19" s="5">
        <f t="shared" ref="E19:W19" si="0">SUM(E8:E18)</f>
        <v>27</v>
      </c>
      <c r="G19" s="5">
        <f t="shared" si="0"/>
        <v>51</v>
      </c>
      <c r="I19" s="5">
        <f t="shared" si="0"/>
        <v>0</v>
      </c>
      <c r="K19" s="5">
        <f t="shared" si="0"/>
        <v>4</v>
      </c>
      <c r="M19" s="5">
        <f t="shared" si="0"/>
        <v>0</v>
      </c>
      <c r="O19" s="5">
        <f t="shared" si="0"/>
        <v>24</v>
      </c>
      <c r="Q19" s="5">
        <f t="shared" si="0"/>
        <v>0</v>
      </c>
      <c r="S19" s="5">
        <f t="shared" si="0"/>
        <v>2</v>
      </c>
      <c r="U19" s="5">
        <f t="shared" si="0"/>
        <v>14</v>
      </c>
      <c r="W19" s="5">
        <f t="shared" si="0"/>
        <v>0</v>
      </c>
      <c r="Y19">
        <f>SUM(Y8:Y18)</f>
        <v>0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44</v>
      </c>
    </row>
    <row r="24" spans="1:25" x14ac:dyDescent="0.25">
      <c r="K24" s="5" t="s">
        <v>17</v>
      </c>
      <c r="O24" s="9">
        <f>+C19+E19+G19</f>
        <v>233</v>
      </c>
    </row>
    <row r="25" spans="1:25" x14ac:dyDescent="0.25">
      <c r="K25" s="5" t="s">
        <v>18</v>
      </c>
      <c r="O25" s="5">
        <f>+O23+O24</f>
        <v>277</v>
      </c>
    </row>
    <row r="26" spans="1:25" x14ac:dyDescent="0.25">
      <c r="K26" s="6" t="s">
        <v>19</v>
      </c>
      <c r="O26" s="5">
        <v>9</v>
      </c>
    </row>
    <row r="27" spans="1:25" x14ac:dyDescent="0.25">
      <c r="K27" s="6" t="s">
        <v>20</v>
      </c>
      <c r="O27" s="9">
        <v>34</v>
      </c>
    </row>
    <row r="28" spans="1:25" x14ac:dyDescent="0.25">
      <c r="K28" s="6" t="s">
        <v>21</v>
      </c>
      <c r="O28" s="5">
        <f>+O25+O26+O27</f>
        <v>320</v>
      </c>
    </row>
    <row r="30" spans="1:25" x14ac:dyDescent="0.25">
      <c r="K30" s="6" t="s">
        <v>22</v>
      </c>
    </row>
    <row r="31" spans="1:25" x14ac:dyDescent="0.25">
      <c r="K31" s="6" t="s">
        <v>23</v>
      </c>
      <c r="O31" s="5">
        <v>10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v>107</v>
      </c>
    </row>
    <row r="35" spans="1:17" x14ac:dyDescent="0.25">
      <c r="K35" s="6" t="s">
        <v>21</v>
      </c>
      <c r="O35" s="5">
        <f>+O28+O30+O31+O32+O33</f>
        <v>437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300+90</f>
        <v>390</v>
      </c>
      <c r="E43" s="5">
        <v>300</v>
      </c>
      <c r="G43" s="5">
        <v>380</v>
      </c>
      <c r="I43" s="5">
        <f>200+150+95+50+20</f>
        <v>515</v>
      </c>
      <c r="K43" s="5">
        <f>80+160+75+25+25+25</f>
        <v>390</v>
      </c>
      <c r="M43" s="5">
        <f>60+150+75+25+25+22</f>
        <v>357</v>
      </c>
    </row>
    <row r="44" spans="1:17" x14ac:dyDescent="0.25">
      <c r="G44" s="5">
        <v>360</v>
      </c>
    </row>
    <row r="45" spans="1:17" x14ac:dyDescent="0.25">
      <c r="G45" s="5">
        <v>50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390</v>
      </c>
      <c r="E52" s="5">
        <f t="shared" ref="E52:Q52" si="1">SUM(E43:E51)</f>
        <v>300</v>
      </c>
      <c r="G52" s="5">
        <f t="shared" si="1"/>
        <v>790</v>
      </c>
      <c r="I52" s="5">
        <f t="shared" si="1"/>
        <v>515</v>
      </c>
      <c r="K52" s="5">
        <f t="shared" si="1"/>
        <v>390</v>
      </c>
      <c r="M52" s="5">
        <f t="shared" si="1"/>
        <v>357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300</v>
      </c>
      <c r="F53" s="5"/>
      <c r="G53" s="7">
        <v>580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90</v>
      </c>
      <c r="E54" s="5">
        <f t="shared" ref="E54:M54" si="2">+E52-E53</f>
        <v>0</v>
      </c>
      <c r="G54" s="5">
        <f t="shared" si="2"/>
        <v>210</v>
      </c>
      <c r="I54" s="5">
        <f t="shared" si="2"/>
        <v>215</v>
      </c>
      <c r="K54" s="5">
        <f t="shared" si="2"/>
        <v>90</v>
      </c>
      <c r="M54" s="5">
        <f t="shared" si="2"/>
        <v>57</v>
      </c>
      <c r="Q54" s="5">
        <f>+C54+E54+G54+I54+K54+M54</f>
        <v>662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90</v>
      </c>
      <c r="E60" s="5">
        <f t="shared" ref="E60:M60" si="3">+E54+E57</f>
        <v>0</v>
      </c>
      <c r="G60" s="5">
        <f t="shared" si="3"/>
        <v>210</v>
      </c>
      <c r="I60" s="5">
        <f t="shared" si="3"/>
        <v>215</v>
      </c>
      <c r="K60" s="5">
        <f t="shared" si="3"/>
        <v>90</v>
      </c>
      <c r="M60" s="5">
        <f t="shared" si="3"/>
        <v>57</v>
      </c>
      <c r="Q60" s="5">
        <f>+Q54+Q57</f>
        <v>662</v>
      </c>
    </row>
    <row r="63" spans="1:36" s="8" customFormat="1" ht="15.75" thickBot="1" x14ac:dyDescent="0.3">
      <c r="A63" s="5" t="s">
        <v>39</v>
      </c>
      <c r="B63" s="5"/>
      <c r="C63" s="8">
        <f>+C60</f>
        <v>90</v>
      </c>
      <c r="E63" s="8">
        <f t="shared" ref="E63:Q63" si="4">+E60</f>
        <v>0</v>
      </c>
      <c r="G63" s="8">
        <f t="shared" si="4"/>
        <v>210</v>
      </c>
      <c r="I63" s="8">
        <f t="shared" si="4"/>
        <v>215</v>
      </c>
      <c r="K63" s="8">
        <f t="shared" si="4"/>
        <v>90</v>
      </c>
      <c r="M63" s="8">
        <f t="shared" si="4"/>
        <v>57</v>
      </c>
      <c r="O63" s="8">
        <f t="shared" si="4"/>
        <v>0</v>
      </c>
      <c r="Q63" s="8">
        <f t="shared" si="4"/>
        <v>662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1" x14ac:dyDescent="0.25">
      <c r="A65" t="s">
        <v>40</v>
      </c>
      <c r="C65" s="5">
        <v>1034</v>
      </c>
    </row>
    <row r="67" spans="1:11" x14ac:dyDescent="0.25">
      <c r="A67" t="s">
        <v>42</v>
      </c>
    </row>
    <row r="68" spans="1:11" x14ac:dyDescent="0.25">
      <c r="A68" t="s">
        <v>41</v>
      </c>
      <c r="C68" s="10">
        <f>+Q60</f>
        <v>662</v>
      </c>
      <c r="I68" s="5" t="s">
        <v>43</v>
      </c>
      <c r="K68" s="11">
        <f>+C65+E65+G65+I65+K65+M65+C68</f>
        <v>1696</v>
      </c>
    </row>
  </sheetData>
  <pageMargins left="0.7" right="0.7" top="0.75" bottom="0.75" header="0.3" footer="0.3"/>
  <pageSetup scale="73" orientation="landscape" r:id="rId1"/>
  <rowBreaks count="1" manualBreakCount="1">
    <brk id="38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topLeftCell="A50" zoomScaleNormal="100" workbookViewId="0">
      <selection activeCell="E67" sqref="E67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64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194</v>
      </c>
      <c r="E8" s="5">
        <v>38</v>
      </c>
      <c r="G8" s="5">
        <v>77</v>
      </c>
      <c r="K8" s="5">
        <v>15</v>
      </c>
      <c r="M8" s="5">
        <v>5</v>
      </c>
      <c r="O8" s="5">
        <v>18</v>
      </c>
      <c r="Q8" s="5">
        <v>3</v>
      </c>
      <c r="S8" s="5">
        <v>5</v>
      </c>
      <c r="U8" s="5">
        <v>17</v>
      </c>
      <c r="W8" s="5">
        <v>3</v>
      </c>
      <c r="Y8">
        <v>8</v>
      </c>
    </row>
    <row r="11" spans="1:25" x14ac:dyDescent="0.25">
      <c r="C11" s="6"/>
      <c r="E11" s="6"/>
      <c r="G11" s="6"/>
      <c r="K11" s="6"/>
      <c r="M11" s="6"/>
      <c r="O11" s="6"/>
      <c r="U11" s="6"/>
    </row>
    <row r="12" spans="1:25" x14ac:dyDescent="0.25">
      <c r="C12" s="6"/>
      <c r="E12" s="6"/>
      <c r="G12" s="6"/>
      <c r="K12" s="6"/>
      <c r="M12" s="6"/>
      <c r="O12" s="6"/>
      <c r="U12" s="6"/>
    </row>
    <row r="13" spans="1:25" x14ac:dyDescent="0.25">
      <c r="C13" s="6"/>
      <c r="E13" s="6"/>
      <c r="G13" s="6"/>
      <c r="K13" s="6"/>
      <c r="M13" s="6"/>
      <c r="O13" s="6"/>
      <c r="Q13" s="6"/>
      <c r="U13" s="6"/>
    </row>
    <row r="14" spans="1:25" x14ac:dyDescent="0.25">
      <c r="C14" s="6"/>
      <c r="E14" s="6"/>
      <c r="G14" s="6"/>
      <c r="K14" s="6"/>
      <c r="M14" s="6"/>
      <c r="O14" s="6"/>
      <c r="Q14" s="6"/>
      <c r="U14" s="6"/>
    </row>
    <row r="15" spans="1:25" x14ac:dyDescent="0.25">
      <c r="C15" s="6"/>
      <c r="E15" s="6"/>
      <c r="G15" s="6"/>
      <c r="K15" s="6"/>
      <c r="M15" s="6"/>
      <c r="O15" s="6"/>
      <c r="U15" s="6"/>
    </row>
    <row r="16" spans="1:25" x14ac:dyDescent="0.25">
      <c r="C16" s="6"/>
      <c r="E16" s="6"/>
      <c r="G16" s="6"/>
      <c r="K16" s="6"/>
      <c r="M16" s="6"/>
      <c r="O16" s="6"/>
      <c r="Q16" s="6"/>
      <c r="U16" s="6"/>
    </row>
    <row r="17" spans="1:25" s="5" customFormat="1" x14ac:dyDescent="0.25"/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194</v>
      </c>
      <c r="E19" s="5">
        <f t="shared" ref="E19:W19" si="0">SUM(E8:E18)</f>
        <v>38</v>
      </c>
      <c r="G19" s="5">
        <f t="shared" si="0"/>
        <v>77</v>
      </c>
      <c r="I19" s="5">
        <f t="shared" si="0"/>
        <v>0</v>
      </c>
      <c r="K19" s="5">
        <f t="shared" si="0"/>
        <v>15</v>
      </c>
      <c r="M19" s="5">
        <f t="shared" si="0"/>
        <v>5</v>
      </c>
      <c r="O19" s="5">
        <f t="shared" si="0"/>
        <v>18</v>
      </c>
      <c r="Q19" s="5">
        <f t="shared" si="0"/>
        <v>3</v>
      </c>
      <c r="S19" s="5">
        <f t="shared" si="0"/>
        <v>5</v>
      </c>
      <c r="U19" s="5">
        <f t="shared" si="0"/>
        <v>17</v>
      </c>
      <c r="W19" s="5">
        <f t="shared" si="0"/>
        <v>3</v>
      </c>
      <c r="Y19">
        <f>SUM(Y8:Y18)</f>
        <v>8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74</v>
      </c>
    </row>
    <row r="24" spans="1:25" x14ac:dyDescent="0.25">
      <c r="K24" s="5" t="s">
        <v>17</v>
      </c>
      <c r="O24" s="9">
        <f>+C19+E19+G19</f>
        <v>309</v>
      </c>
    </row>
    <row r="25" spans="1:25" x14ac:dyDescent="0.25">
      <c r="K25" s="5" t="s">
        <v>18</v>
      </c>
      <c r="O25" s="5">
        <f>+O23+O24</f>
        <v>383</v>
      </c>
    </row>
    <row r="26" spans="1:25" x14ac:dyDescent="0.25">
      <c r="K26" s="6" t="s">
        <v>19</v>
      </c>
      <c r="O26" s="5">
        <v>9</v>
      </c>
    </row>
    <row r="27" spans="1:25" x14ac:dyDescent="0.25">
      <c r="K27" s="6" t="s">
        <v>20</v>
      </c>
      <c r="O27" s="9">
        <v>39</v>
      </c>
    </row>
    <row r="28" spans="1:25" x14ac:dyDescent="0.25">
      <c r="K28" s="6" t="s">
        <v>21</v>
      </c>
      <c r="O28" s="5">
        <f>+O25+O26+O27</f>
        <v>431</v>
      </c>
    </row>
    <row r="30" spans="1:25" x14ac:dyDescent="0.25">
      <c r="K30" s="6" t="s">
        <v>22</v>
      </c>
    </row>
    <row r="31" spans="1:25" x14ac:dyDescent="0.25">
      <c r="K31" s="6" t="s">
        <v>23</v>
      </c>
      <c r="O31" s="5">
        <v>9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/>
    </row>
    <row r="35" spans="1:17" x14ac:dyDescent="0.25">
      <c r="K35" s="6" t="s">
        <v>21</v>
      </c>
      <c r="O35" s="5">
        <f>+O28+O30+O31+O32+O33</f>
        <v>440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300+140+75+50+25</f>
        <v>590</v>
      </c>
      <c r="E43" s="5">
        <f>300+440+50+80+25+25+5</f>
        <v>925</v>
      </c>
      <c r="G43" s="5">
        <f>130+85+25+25+24+280</f>
        <v>569</v>
      </c>
      <c r="I43" s="5">
        <f>460+160+65+25+25+20</f>
        <v>755</v>
      </c>
      <c r="K43" s="5">
        <f>20+150+85+75+4</f>
        <v>334</v>
      </c>
      <c r="M43" s="5">
        <f>100+110+75+75</f>
        <v>360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590</v>
      </c>
      <c r="E52" s="5">
        <f t="shared" ref="E52:Q52" si="1">SUM(E43:E51)</f>
        <v>925</v>
      </c>
      <c r="G52" s="5">
        <f t="shared" si="1"/>
        <v>569</v>
      </c>
      <c r="I52" s="5">
        <f t="shared" si="1"/>
        <v>755</v>
      </c>
      <c r="K52" s="5">
        <f t="shared" si="1"/>
        <v>334</v>
      </c>
      <c r="M52" s="5">
        <f t="shared" si="1"/>
        <v>360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580</v>
      </c>
      <c r="F53" s="5"/>
      <c r="G53" s="7">
        <v>300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290</v>
      </c>
      <c r="E54" s="5">
        <f t="shared" ref="E54:M54" si="2">+E52-E53</f>
        <v>345</v>
      </c>
      <c r="G54" s="5">
        <f t="shared" si="2"/>
        <v>269</v>
      </c>
      <c r="I54" s="5">
        <f t="shared" si="2"/>
        <v>455</v>
      </c>
      <c r="K54" s="5">
        <f t="shared" si="2"/>
        <v>34</v>
      </c>
      <c r="M54" s="5">
        <f t="shared" si="2"/>
        <v>60</v>
      </c>
      <c r="Q54" s="5">
        <f>+C54+E54+G54+I54+K54+M54</f>
        <v>1453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290</v>
      </c>
      <c r="E60" s="5">
        <f t="shared" ref="E60:M60" si="3">+E54+E57</f>
        <v>345</v>
      </c>
      <c r="G60" s="5">
        <f t="shared" si="3"/>
        <v>269</v>
      </c>
      <c r="I60" s="5">
        <f t="shared" si="3"/>
        <v>455</v>
      </c>
      <c r="K60" s="5">
        <f t="shared" si="3"/>
        <v>34</v>
      </c>
      <c r="M60" s="5">
        <f t="shared" si="3"/>
        <v>60</v>
      </c>
      <c r="Q60" s="5">
        <f>+Q54+Q57</f>
        <v>1453</v>
      </c>
    </row>
    <row r="63" spans="1:36" s="8" customFormat="1" ht="15.75" thickBot="1" x14ac:dyDescent="0.3">
      <c r="A63" s="5" t="s">
        <v>39</v>
      </c>
      <c r="B63" s="5"/>
      <c r="C63" s="8">
        <f>+C60</f>
        <v>290</v>
      </c>
      <c r="E63" s="8">
        <f t="shared" ref="E63:Q63" si="4">+E60</f>
        <v>345</v>
      </c>
      <c r="G63" s="8">
        <f t="shared" si="4"/>
        <v>269</v>
      </c>
      <c r="I63" s="8">
        <f t="shared" si="4"/>
        <v>455</v>
      </c>
      <c r="K63" s="8">
        <f t="shared" si="4"/>
        <v>34</v>
      </c>
      <c r="M63" s="8">
        <f t="shared" si="4"/>
        <v>60</v>
      </c>
      <c r="O63" s="8">
        <f t="shared" si="4"/>
        <v>0</v>
      </c>
      <c r="Q63" s="8">
        <f t="shared" si="4"/>
        <v>1453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1" x14ac:dyDescent="0.25">
      <c r="A65" t="s">
        <v>40</v>
      </c>
      <c r="C65" s="5">
        <v>79</v>
      </c>
      <c r="E65" s="5">
        <v>180.01</v>
      </c>
    </row>
    <row r="67" spans="1:11" x14ac:dyDescent="0.25">
      <c r="A67" t="s">
        <v>42</v>
      </c>
    </row>
    <row r="68" spans="1:11" x14ac:dyDescent="0.25">
      <c r="A68" t="s">
        <v>41</v>
      </c>
      <c r="C68" s="10">
        <f>+Q60</f>
        <v>1453</v>
      </c>
      <c r="I68" s="5" t="s">
        <v>43</v>
      </c>
      <c r="K68" s="11">
        <f>+C65+E65+G65+I65+K65+M65+C68</f>
        <v>1712.01</v>
      </c>
    </row>
  </sheetData>
  <pageMargins left="0.7" right="0.7" top="0.75" bottom="0.75" header="0.3" footer="0.3"/>
  <pageSetup scale="72" orientation="landscape" r:id="rId1"/>
  <rowBreaks count="1" manualBreakCount="1">
    <brk id="38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zoomScaleNormal="100" workbookViewId="0">
      <selection activeCell="A6" sqref="A6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65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315</v>
      </c>
      <c r="E8" s="5">
        <v>23</v>
      </c>
      <c r="G8" s="5">
        <v>92</v>
      </c>
      <c r="K8" s="5">
        <v>37</v>
      </c>
      <c r="M8" s="5">
        <v>4</v>
      </c>
      <c r="O8" s="5">
        <v>55</v>
      </c>
      <c r="Q8" s="5">
        <v>4</v>
      </c>
      <c r="S8" s="5">
        <v>17</v>
      </c>
      <c r="U8" s="5">
        <f>94+8</f>
        <v>102</v>
      </c>
      <c r="W8" s="5">
        <v>7</v>
      </c>
      <c r="Y8">
        <f>18+11+6</f>
        <v>35</v>
      </c>
    </row>
    <row r="11" spans="1:25" x14ac:dyDescent="0.25">
      <c r="C11" s="6"/>
      <c r="E11" s="6"/>
      <c r="G11" s="6"/>
      <c r="K11" s="6"/>
      <c r="M11" s="6"/>
      <c r="O11" s="6"/>
      <c r="U11" s="6"/>
    </row>
    <row r="12" spans="1:25" x14ac:dyDescent="0.25">
      <c r="C12" s="6"/>
      <c r="E12" s="6"/>
      <c r="G12" s="6"/>
      <c r="K12" s="6"/>
      <c r="M12" s="6"/>
      <c r="O12" s="6"/>
      <c r="U12" s="6"/>
    </row>
    <row r="13" spans="1:25" x14ac:dyDescent="0.25">
      <c r="C13" s="6"/>
      <c r="E13" s="6"/>
      <c r="G13" s="6"/>
      <c r="K13" s="6"/>
      <c r="M13" s="6"/>
      <c r="O13" s="6"/>
      <c r="Q13" s="6"/>
      <c r="U13" s="6"/>
    </row>
    <row r="14" spans="1:25" x14ac:dyDescent="0.25">
      <c r="C14" s="6"/>
      <c r="E14" s="6"/>
      <c r="G14" s="6"/>
      <c r="K14" s="6"/>
      <c r="M14" s="6"/>
      <c r="O14" s="6"/>
      <c r="Q14" s="6"/>
      <c r="U14" s="6"/>
    </row>
    <row r="15" spans="1:25" x14ac:dyDescent="0.25">
      <c r="C15" s="6"/>
      <c r="E15" s="6"/>
      <c r="G15" s="6"/>
      <c r="K15" s="6"/>
      <c r="M15" s="6"/>
      <c r="O15" s="6"/>
      <c r="U15" s="6"/>
    </row>
    <row r="16" spans="1:25" x14ac:dyDescent="0.25">
      <c r="C16" s="6"/>
      <c r="E16" s="6"/>
      <c r="G16" s="6"/>
      <c r="K16" s="6"/>
      <c r="M16" s="6"/>
      <c r="O16" s="6"/>
      <c r="Q16" s="6"/>
      <c r="U16" s="6"/>
    </row>
    <row r="17" spans="1:25" s="5" customFormat="1" x14ac:dyDescent="0.25"/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315</v>
      </c>
      <c r="E19" s="5">
        <f t="shared" ref="E19:W19" si="0">SUM(E8:E18)</f>
        <v>23</v>
      </c>
      <c r="G19" s="5">
        <f t="shared" si="0"/>
        <v>92</v>
      </c>
      <c r="I19" s="5">
        <f t="shared" si="0"/>
        <v>0</v>
      </c>
      <c r="K19" s="5">
        <f t="shared" si="0"/>
        <v>37</v>
      </c>
      <c r="M19" s="5">
        <f t="shared" si="0"/>
        <v>4</v>
      </c>
      <c r="O19" s="5">
        <f t="shared" si="0"/>
        <v>55</v>
      </c>
      <c r="Q19" s="5">
        <f t="shared" si="0"/>
        <v>4</v>
      </c>
      <c r="S19" s="5">
        <f t="shared" si="0"/>
        <v>17</v>
      </c>
      <c r="U19" s="5">
        <f t="shared" si="0"/>
        <v>102</v>
      </c>
      <c r="W19" s="5">
        <f t="shared" si="0"/>
        <v>7</v>
      </c>
      <c r="Y19">
        <f>SUM(Y8:Y18)</f>
        <v>35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261</v>
      </c>
    </row>
    <row r="24" spans="1:25" x14ac:dyDescent="0.25">
      <c r="K24" s="5" t="s">
        <v>17</v>
      </c>
      <c r="O24" s="9">
        <f>+C19+E19+G19</f>
        <v>430</v>
      </c>
    </row>
    <row r="25" spans="1:25" x14ac:dyDescent="0.25">
      <c r="K25" s="5" t="s">
        <v>18</v>
      </c>
      <c r="O25" s="5">
        <f>+O23+O24</f>
        <v>691</v>
      </c>
    </row>
    <row r="26" spans="1:25" x14ac:dyDescent="0.25">
      <c r="K26" s="6" t="s">
        <v>19</v>
      </c>
      <c r="O26" s="5">
        <v>10</v>
      </c>
    </row>
    <row r="27" spans="1:25" x14ac:dyDescent="0.25">
      <c r="K27" s="6" t="s">
        <v>20</v>
      </c>
      <c r="O27" s="9">
        <v>48</v>
      </c>
    </row>
    <row r="28" spans="1:25" x14ac:dyDescent="0.25">
      <c r="K28" s="6" t="s">
        <v>21</v>
      </c>
      <c r="O28" s="5">
        <f>+O25+O26+O27</f>
        <v>749</v>
      </c>
    </row>
    <row r="30" spans="1:25" x14ac:dyDescent="0.25">
      <c r="K30" s="6" t="s">
        <v>22</v>
      </c>
    </row>
    <row r="31" spans="1:25" x14ac:dyDescent="0.25">
      <c r="K31" s="6" t="s">
        <v>23</v>
      </c>
      <c r="O31" s="5">
        <v>9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/>
    </row>
    <row r="35" spans="1:17" x14ac:dyDescent="0.25">
      <c r="K35" s="6" t="s">
        <v>21</v>
      </c>
      <c r="O35" s="5">
        <f>+O28+O30+O31+O32+O33</f>
        <v>758</v>
      </c>
    </row>
    <row r="37" spans="1:17" ht="16.5" customHeight="1" x14ac:dyDescent="0.25"/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50+520+130+95+50+27</f>
        <v>872</v>
      </c>
      <c r="E43" s="5">
        <f>420+130+110+50+11+140</f>
        <v>861</v>
      </c>
      <c r="G43" s="5">
        <f>40+150+65+75</f>
        <v>330</v>
      </c>
      <c r="I43" s="5">
        <f>50+360+130+90+50+27+140</f>
        <v>847</v>
      </c>
      <c r="K43" s="5">
        <f>40+150+50+22+75</f>
        <v>337</v>
      </c>
      <c r="M43" s="5">
        <f>40+160+75+75</f>
        <v>350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872</v>
      </c>
      <c r="E52" s="5">
        <f t="shared" ref="E52:Q52" si="1">SUM(E43:E51)</f>
        <v>861</v>
      </c>
      <c r="G52" s="5">
        <f t="shared" si="1"/>
        <v>330</v>
      </c>
      <c r="I52" s="5">
        <f t="shared" si="1"/>
        <v>847</v>
      </c>
      <c r="K52" s="5">
        <f t="shared" si="1"/>
        <v>337</v>
      </c>
      <c r="M52" s="5">
        <f t="shared" si="1"/>
        <v>350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440</v>
      </c>
      <c r="F53" s="5"/>
      <c r="G53" s="7">
        <v>300</v>
      </c>
      <c r="H53" s="5"/>
      <c r="I53" s="7">
        <v>440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572</v>
      </c>
      <c r="E54" s="5">
        <f t="shared" ref="E54:M54" si="2">+E52-E53</f>
        <v>421</v>
      </c>
      <c r="G54" s="5">
        <f t="shared" si="2"/>
        <v>30</v>
      </c>
      <c r="I54" s="5">
        <f t="shared" si="2"/>
        <v>407</v>
      </c>
      <c r="K54" s="5">
        <f t="shared" si="2"/>
        <v>37</v>
      </c>
      <c r="M54" s="5">
        <f t="shared" si="2"/>
        <v>50</v>
      </c>
      <c r="Q54" s="5">
        <f>+C54+E54+G54+I54+K54+M54</f>
        <v>1517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572</v>
      </c>
      <c r="E60" s="5">
        <f t="shared" ref="E60:M60" si="3">+E54+E57</f>
        <v>421</v>
      </c>
      <c r="G60" s="5">
        <f t="shared" si="3"/>
        <v>30</v>
      </c>
      <c r="I60" s="5">
        <f t="shared" si="3"/>
        <v>407</v>
      </c>
      <c r="K60" s="5">
        <f t="shared" si="3"/>
        <v>37</v>
      </c>
      <c r="M60" s="5">
        <f t="shared" si="3"/>
        <v>50</v>
      </c>
      <c r="Q60" s="5">
        <f>+Q54+Q57</f>
        <v>1517</v>
      </c>
    </row>
    <row r="63" spans="1:36" s="8" customFormat="1" ht="15.75" thickBot="1" x14ac:dyDescent="0.3">
      <c r="A63" s="5" t="s">
        <v>39</v>
      </c>
      <c r="B63" s="5"/>
      <c r="C63" s="8">
        <f>+C60</f>
        <v>572</v>
      </c>
      <c r="E63" s="8">
        <f t="shared" ref="E63:Q63" si="4">+E60</f>
        <v>421</v>
      </c>
      <c r="G63" s="8">
        <f t="shared" si="4"/>
        <v>30</v>
      </c>
      <c r="I63" s="8">
        <f t="shared" si="4"/>
        <v>407</v>
      </c>
      <c r="K63" s="8">
        <f t="shared" si="4"/>
        <v>37</v>
      </c>
      <c r="M63" s="8">
        <f t="shared" si="4"/>
        <v>50</v>
      </c>
      <c r="O63" s="8">
        <f t="shared" si="4"/>
        <v>0</v>
      </c>
      <c r="Q63" s="8">
        <f t="shared" si="4"/>
        <v>1517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1" x14ac:dyDescent="0.25">
      <c r="A65" t="s">
        <v>40</v>
      </c>
      <c r="C65" s="5">
        <f>17+34+450</f>
        <v>501</v>
      </c>
      <c r="E65" s="5">
        <f>41+30+427</f>
        <v>498</v>
      </c>
      <c r="G65" s="5">
        <v>60</v>
      </c>
      <c r="I65" s="5">
        <f>20+576</f>
        <v>596</v>
      </c>
    </row>
    <row r="67" spans="1:11" x14ac:dyDescent="0.25">
      <c r="A67" t="s">
        <v>42</v>
      </c>
    </row>
    <row r="68" spans="1:11" x14ac:dyDescent="0.25">
      <c r="A68" t="s">
        <v>41</v>
      </c>
      <c r="C68" s="10">
        <f>+Q60</f>
        <v>1517</v>
      </c>
      <c r="I68" s="5" t="s">
        <v>43</v>
      </c>
      <c r="K68" s="11">
        <f>+C65+E65+G65+I65+K65+M65+C68</f>
        <v>3172</v>
      </c>
    </row>
  </sheetData>
  <pageMargins left="0.25" right="0.25" top="0.75" bottom="0.75" header="0.3" footer="0.3"/>
  <pageSetup scale="65" orientation="landscape" r:id="rId1"/>
  <rowBreaks count="1" manualBreakCount="1">
    <brk id="36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topLeftCell="A20" zoomScaleNormal="100" workbookViewId="0">
      <selection activeCell="M38" sqref="M38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66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50</v>
      </c>
      <c r="E8" s="5">
        <v>29</v>
      </c>
      <c r="G8" s="5">
        <v>13</v>
      </c>
      <c r="K8" s="5">
        <v>15</v>
      </c>
      <c r="M8" s="5">
        <v>1</v>
      </c>
      <c r="O8" s="5">
        <v>5</v>
      </c>
      <c r="Q8" s="5">
        <v>2</v>
      </c>
      <c r="S8" s="5">
        <v>4</v>
      </c>
      <c r="U8" s="5">
        <v>14</v>
      </c>
      <c r="W8" s="5">
        <v>2</v>
      </c>
      <c r="Y8">
        <v>1</v>
      </c>
    </row>
    <row r="9" spans="1:25" x14ac:dyDescent="0.25">
      <c r="C9" s="5">
        <v>59</v>
      </c>
      <c r="E9" s="5">
        <v>12</v>
      </c>
      <c r="G9" s="5">
        <v>16</v>
      </c>
      <c r="K9" s="5">
        <v>5</v>
      </c>
      <c r="M9" s="5">
        <v>3</v>
      </c>
      <c r="O9" s="5">
        <v>14</v>
      </c>
      <c r="U9" s="5">
        <v>17</v>
      </c>
      <c r="Y9">
        <v>15</v>
      </c>
    </row>
    <row r="10" spans="1:25" x14ac:dyDescent="0.25">
      <c r="C10" s="5">
        <v>128</v>
      </c>
      <c r="E10" s="5">
        <v>18</v>
      </c>
      <c r="G10" s="5">
        <v>56</v>
      </c>
      <c r="K10" s="5">
        <v>6</v>
      </c>
      <c r="M10" s="5">
        <v>5</v>
      </c>
      <c r="O10" s="5">
        <v>4</v>
      </c>
      <c r="U10" s="5">
        <v>11</v>
      </c>
      <c r="W10" s="5">
        <v>1</v>
      </c>
      <c r="Y10">
        <v>1</v>
      </c>
    </row>
    <row r="11" spans="1:25" x14ac:dyDescent="0.25">
      <c r="C11" s="6">
        <v>40</v>
      </c>
      <c r="E11" s="6">
        <v>13</v>
      </c>
      <c r="G11" s="6">
        <v>14</v>
      </c>
      <c r="K11" s="6">
        <v>8</v>
      </c>
      <c r="M11" s="6"/>
      <c r="O11" s="6">
        <v>20</v>
      </c>
      <c r="S11" s="5">
        <v>11</v>
      </c>
      <c r="U11" s="6">
        <v>7</v>
      </c>
      <c r="W11" s="5">
        <v>1</v>
      </c>
      <c r="Y11">
        <v>10</v>
      </c>
    </row>
    <row r="12" spans="1:25" x14ac:dyDescent="0.25">
      <c r="C12" s="6">
        <v>89</v>
      </c>
      <c r="E12" s="6">
        <v>7</v>
      </c>
      <c r="G12" s="6">
        <v>27</v>
      </c>
      <c r="K12" s="6">
        <v>10</v>
      </c>
      <c r="M12" s="6">
        <v>6</v>
      </c>
      <c r="O12" s="6">
        <v>15</v>
      </c>
      <c r="S12" s="5">
        <v>4</v>
      </c>
      <c r="U12" s="6">
        <v>13</v>
      </c>
      <c r="Y12">
        <v>3</v>
      </c>
    </row>
    <row r="13" spans="1:25" x14ac:dyDescent="0.25">
      <c r="C13" s="6">
        <v>134</v>
      </c>
      <c r="E13" s="6">
        <v>58</v>
      </c>
      <c r="G13" s="6">
        <v>50</v>
      </c>
      <c r="K13" s="6">
        <v>20</v>
      </c>
      <c r="M13" s="6">
        <v>1</v>
      </c>
      <c r="O13" s="6">
        <v>69</v>
      </c>
      <c r="Q13" s="6"/>
      <c r="S13" s="6">
        <v>5</v>
      </c>
      <c r="U13" s="6">
        <v>49</v>
      </c>
    </row>
    <row r="14" spans="1:25" x14ac:dyDescent="0.25">
      <c r="C14" s="6">
        <v>79</v>
      </c>
      <c r="E14" s="6">
        <v>14</v>
      </c>
      <c r="G14" s="6">
        <v>35</v>
      </c>
      <c r="K14" s="6">
        <v>8</v>
      </c>
      <c r="M14" s="6"/>
      <c r="O14" s="6">
        <v>17</v>
      </c>
      <c r="Q14" s="6"/>
      <c r="S14" s="6">
        <v>10</v>
      </c>
      <c r="U14" s="6">
        <v>17</v>
      </c>
      <c r="W14" s="5">
        <v>2</v>
      </c>
    </row>
    <row r="15" spans="1:25" x14ac:dyDescent="0.25">
      <c r="C15" s="6">
        <v>76</v>
      </c>
      <c r="E15" s="6">
        <v>10</v>
      </c>
      <c r="G15" s="6">
        <v>16</v>
      </c>
      <c r="K15" s="6">
        <v>2</v>
      </c>
      <c r="M15" s="6"/>
      <c r="O15" s="6">
        <v>1</v>
      </c>
      <c r="U15" s="6">
        <v>9</v>
      </c>
      <c r="W15" s="6">
        <v>2</v>
      </c>
    </row>
    <row r="16" spans="1:25" x14ac:dyDescent="0.25">
      <c r="C16" s="6">
        <v>137</v>
      </c>
      <c r="E16" s="6">
        <v>24</v>
      </c>
      <c r="G16" s="6">
        <v>39</v>
      </c>
      <c r="K16" s="6">
        <v>13</v>
      </c>
      <c r="M16" s="6">
        <v>8</v>
      </c>
      <c r="O16" s="6">
        <v>26</v>
      </c>
      <c r="Q16" s="6"/>
      <c r="S16" s="6">
        <v>2</v>
      </c>
      <c r="U16" s="6">
        <v>30</v>
      </c>
    </row>
    <row r="17" spans="1:25" s="5" customFormat="1" x14ac:dyDescent="0.25">
      <c r="C17" s="6">
        <v>44</v>
      </c>
      <c r="E17" s="6">
        <v>3</v>
      </c>
      <c r="G17" s="6">
        <v>13</v>
      </c>
      <c r="O17" s="6">
        <v>9</v>
      </c>
      <c r="S17" s="6">
        <v>3</v>
      </c>
      <c r="U17" s="6">
        <v>15</v>
      </c>
    </row>
    <row r="18" spans="1:25" x14ac:dyDescent="0.25">
      <c r="C18" s="9">
        <v>32</v>
      </c>
      <c r="E18" s="9"/>
      <c r="G18" s="9">
        <v>10</v>
      </c>
      <c r="I18" s="9"/>
      <c r="K18" s="9"/>
      <c r="M18" s="9"/>
      <c r="O18" s="9">
        <v>14</v>
      </c>
      <c r="Q18" s="9"/>
      <c r="S18" s="9">
        <v>1</v>
      </c>
      <c r="U18" s="9">
        <v>6</v>
      </c>
      <c r="W18" s="9"/>
      <c r="Y18" s="9"/>
    </row>
    <row r="19" spans="1:25" x14ac:dyDescent="0.25">
      <c r="A19" t="s">
        <v>13</v>
      </c>
      <c r="C19" s="5">
        <f>SUM(C8:C18)</f>
        <v>868</v>
      </c>
      <c r="E19" s="5">
        <f t="shared" ref="E19:W19" si="0">SUM(E8:E18)</f>
        <v>188</v>
      </c>
      <c r="G19" s="5">
        <f t="shared" si="0"/>
        <v>289</v>
      </c>
      <c r="I19" s="5">
        <f t="shared" si="0"/>
        <v>0</v>
      </c>
      <c r="K19" s="5">
        <f t="shared" si="0"/>
        <v>87</v>
      </c>
      <c r="M19" s="5">
        <f t="shared" si="0"/>
        <v>24</v>
      </c>
      <c r="O19" s="5">
        <f t="shared" si="0"/>
        <v>194</v>
      </c>
      <c r="Q19" s="5">
        <f t="shared" si="0"/>
        <v>2</v>
      </c>
      <c r="S19" s="5">
        <f t="shared" si="0"/>
        <v>40</v>
      </c>
      <c r="U19" s="5">
        <f t="shared" si="0"/>
        <v>188</v>
      </c>
      <c r="W19" s="5">
        <f t="shared" si="0"/>
        <v>8</v>
      </c>
      <c r="Y19">
        <f>SUM(Y8:Y18)</f>
        <v>30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573</v>
      </c>
    </row>
    <row r="24" spans="1:25" x14ac:dyDescent="0.25">
      <c r="K24" s="5" t="s">
        <v>17</v>
      </c>
      <c r="O24" s="9">
        <f>+C19+E19+G19</f>
        <v>1345</v>
      </c>
    </row>
    <row r="25" spans="1:25" x14ac:dyDescent="0.25">
      <c r="K25" s="5" t="s">
        <v>18</v>
      </c>
      <c r="O25" s="5">
        <f>+O23+O24</f>
        <v>1918</v>
      </c>
    </row>
    <row r="26" spans="1:25" x14ac:dyDescent="0.25">
      <c r="K26" s="6" t="s">
        <v>19</v>
      </c>
      <c r="O26" s="5">
        <v>15</v>
      </c>
    </row>
    <row r="27" spans="1:25" x14ac:dyDescent="0.25">
      <c r="K27" s="6" t="s">
        <v>20</v>
      </c>
      <c r="O27" s="9">
        <v>60</v>
      </c>
    </row>
    <row r="28" spans="1:25" x14ac:dyDescent="0.25">
      <c r="K28" s="6" t="s">
        <v>21</v>
      </c>
      <c r="O28" s="5">
        <f>+O25+O26+O27</f>
        <v>1993</v>
      </c>
    </row>
    <row r="30" spans="1:25" x14ac:dyDescent="0.25">
      <c r="K30" s="6" t="s">
        <v>22</v>
      </c>
    </row>
    <row r="31" spans="1:25" x14ac:dyDescent="0.25">
      <c r="K31" s="6" t="s">
        <v>23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f>4+12+69+20+6+15+9+3+6</f>
        <v>144</v>
      </c>
    </row>
    <row r="34" spans="1:17" x14ac:dyDescent="0.25">
      <c r="O34" s="5" t="s">
        <v>59</v>
      </c>
    </row>
    <row r="35" spans="1:17" x14ac:dyDescent="0.25">
      <c r="K35" s="6" t="s">
        <v>21</v>
      </c>
      <c r="O35" s="5">
        <f>+O28+O30+O31+O32+O33</f>
        <v>2137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500+500+340+130+35+25+25+4+20</f>
        <v>1579</v>
      </c>
      <c r="E43" s="5">
        <f>700+380+160+75+25+17</f>
        <v>1357</v>
      </c>
      <c r="G43" s="5">
        <f>110+250+25+25+7+60+100+180+250+280</f>
        <v>1287</v>
      </c>
      <c r="I43" s="5">
        <f>460+15+50+80+70+300</f>
        <v>975</v>
      </c>
      <c r="K43" s="5">
        <f>19+50+145+180+500+1000+200</f>
        <v>2094</v>
      </c>
      <c r="M43" s="5">
        <f>11+50+105+160+540+250</f>
        <v>1116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1579</v>
      </c>
      <c r="E52" s="5">
        <f t="shared" ref="E52:Q52" si="1">SUM(E43:E51)</f>
        <v>1357</v>
      </c>
      <c r="G52" s="5">
        <f t="shared" si="1"/>
        <v>1287</v>
      </c>
      <c r="I52" s="5">
        <f t="shared" si="1"/>
        <v>975</v>
      </c>
      <c r="K52" s="5">
        <f t="shared" si="1"/>
        <v>2094</v>
      </c>
      <c r="M52" s="5">
        <f t="shared" si="1"/>
        <v>1116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300</v>
      </c>
      <c r="F53" s="5"/>
      <c r="G53" s="7">
        <v>580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1279</v>
      </c>
      <c r="E54" s="5">
        <f t="shared" ref="E54:M54" si="2">+E52-E53</f>
        <v>1057</v>
      </c>
      <c r="G54" s="5">
        <f t="shared" si="2"/>
        <v>707</v>
      </c>
      <c r="I54" s="5">
        <f t="shared" si="2"/>
        <v>675</v>
      </c>
      <c r="K54" s="5">
        <f t="shared" si="2"/>
        <v>1794</v>
      </c>
      <c r="M54" s="5">
        <f t="shared" si="2"/>
        <v>816</v>
      </c>
      <c r="Q54" s="5">
        <f>+C54+E54+G54+I54+K54+M54</f>
        <v>6328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1279</v>
      </c>
      <c r="E60" s="5">
        <f t="shared" ref="E60:M60" si="3">+E54+E57</f>
        <v>1057</v>
      </c>
      <c r="G60" s="5">
        <f t="shared" si="3"/>
        <v>707</v>
      </c>
      <c r="I60" s="5">
        <f t="shared" si="3"/>
        <v>675</v>
      </c>
      <c r="K60" s="5">
        <f t="shared" si="3"/>
        <v>1794</v>
      </c>
      <c r="M60" s="5">
        <f t="shared" si="3"/>
        <v>816</v>
      </c>
      <c r="Q60" s="5">
        <f>+Q54+Q57</f>
        <v>6328</v>
      </c>
    </row>
    <row r="63" spans="1:36" s="8" customFormat="1" ht="15.75" thickBot="1" x14ac:dyDescent="0.3">
      <c r="A63" s="5" t="s">
        <v>39</v>
      </c>
      <c r="B63" s="5"/>
      <c r="C63" s="8">
        <f>+C60</f>
        <v>1279</v>
      </c>
      <c r="E63" s="8">
        <f t="shared" ref="E63:Q63" si="4">+E60</f>
        <v>1057</v>
      </c>
      <c r="G63" s="8">
        <f t="shared" si="4"/>
        <v>707</v>
      </c>
      <c r="I63" s="8">
        <f t="shared" si="4"/>
        <v>675</v>
      </c>
      <c r="K63" s="8">
        <f t="shared" si="4"/>
        <v>1794</v>
      </c>
      <c r="M63" s="8">
        <f t="shared" si="4"/>
        <v>816</v>
      </c>
      <c r="O63" s="8">
        <f t="shared" si="4"/>
        <v>0</v>
      </c>
      <c r="Q63" s="8">
        <f t="shared" si="4"/>
        <v>6328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1" x14ac:dyDescent="0.25">
      <c r="A65" t="s">
        <v>40</v>
      </c>
      <c r="C65" s="5">
        <f>34+20+1213</f>
        <v>1267</v>
      </c>
      <c r="E65" s="5">
        <f>41+1138</f>
        <v>1179</v>
      </c>
      <c r="G65" s="5">
        <v>1031</v>
      </c>
      <c r="I65" s="5">
        <f>30+857</f>
        <v>887</v>
      </c>
    </row>
    <row r="67" spans="1:11" x14ac:dyDescent="0.25">
      <c r="A67" t="s">
        <v>42</v>
      </c>
    </row>
    <row r="68" spans="1:11" x14ac:dyDescent="0.25">
      <c r="A68" t="s">
        <v>41</v>
      </c>
      <c r="C68" s="10">
        <f>+Q60</f>
        <v>6328</v>
      </c>
      <c r="I68" s="5" t="s">
        <v>43</v>
      </c>
      <c r="K68" s="11">
        <f>+C65+E65+G65+I65+K65+M65+C68</f>
        <v>10692</v>
      </c>
    </row>
  </sheetData>
  <pageMargins left="0.7" right="0.7" top="0.75" bottom="0.75" header="0.3" footer="0.3"/>
  <pageSetup scale="72" orientation="landscape" r:id="rId1"/>
  <rowBreaks count="1" manualBreakCount="1">
    <brk id="38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topLeftCell="A6" zoomScaleNormal="100" workbookViewId="0">
      <selection activeCell="O27" sqref="O27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67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200</v>
      </c>
      <c r="E8" s="5">
        <v>27</v>
      </c>
      <c r="G8" s="5">
        <v>77</v>
      </c>
      <c r="K8" s="5">
        <v>46</v>
      </c>
      <c r="M8" s="5">
        <v>19</v>
      </c>
      <c r="O8" s="5">
        <v>22</v>
      </c>
      <c r="Q8" s="5">
        <v>14</v>
      </c>
      <c r="S8" s="5">
        <v>3</v>
      </c>
      <c r="U8" s="5">
        <v>25</v>
      </c>
      <c r="W8" s="5">
        <v>16</v>
      </c>
      <c r="Y8">
        <v>31</v>
      </c>
    </row>
    <row r="9" spans="1:25" x14ac:dyDescent="0.25">
      <c r="C9" s="5">
        <v>175</v>
      </c>
      <c r="E9" s="5">
        <v>42</v>
      </c>
      <c r="G9" s="5">
        <v>84</v>
      </c>
      <c r="K9" s="5">
        <v>33</v>
      </c>
      <c r="M9" s="5">
        <v>10</v>
      </c>
      <c r="O9" s="5">
        <v>7</v>
      </c>
      <c r="Q9" s="5">
        <v>3</v>
      </c>
      <c r="S9" s="5">
        <v>6</v>
      </c>
      <c r="U9" s="5">
        <v>19</v>
      </c>
      <c r="W9" s="5">
        <v>3</v>
      </c>
      <c r="Y9">
        <v>7</v>
      </c>
    </row>
    <row r="10" spans="1:25" x14ac:dyDescent="0.25">
      <c r="C10" s="5">
        <v>145</v>
      </c>
      <c r="E10" s="5">
        <v>8</v>
      </c>
      <c r="G10" s="5">
        <v>36</v>
      </c>
      <c r="K10" s="5">
        <v>12</v>
      </c>
      <c r="M10" s="5">
        <v>4</v>
      </c>
      <c r="O10" s="5">
        <v>7</v>
      </c>
      <c r="Q10" s="5">
        <v>3</v>
      </c>
      <c r="S10" s="5">
        <v>7</v>
      </c>
      <c r="U10" s="5">
        <v>33</v>
      </c>
      <c r="W10" s="5">
        <v>3</v>
      </c>
      <c r="Y10">
        <v>70</v>
      </c>
    </row>
    <row r="11" spans="1:25" x14ac:dyDescent="0.25">
      <c r="C11" s="6">
        <v>200</v>
      </c>
      <c r="E11" s="6">
        <v>10</v>
      </c>
      <c r="G11" s="6">
        <v>79</v>
      </c>
      <c r="K11" s="6">
        <v>34</v>
      </c>
      <c r="M11" s="6">
        <v>3</v>
      </c>
      <c r="O11" s="6">
        <v>21</v>
      </c>
      <c r="Q11" s="6">
        <v>2</v>
      </c>
      <c r="S11" s="6">
        <v>4</v>
      </c>
      <c r="U11" s="6">
        <v>56</v>
      </c>
      <c r="W11" s="6">
        <v>6</v>
      </c>
    </row>
    <row r="12" spans="1:25" x14ac:dyDescent="0.25">
      <c r="C12" s="6">
        <v>260</v>
      </c>
      <c r="E12" s="6">
        <v>24</v>
      </c>
      <c r="G12" s="6">
        <v>69</v>
      </c>
      <c r="K12" s="6">
        <v>24</v>
      </c>
      <c r="M12" s="6">
        <v>4</v>
      </c>
      <c r="O12" s="6">
        <v>18</v>
      </c>
      <c r="U12" s="6">
        <v>31</v>
      </c>
      <c r="W12" s="6">
        <v>4</v>
      </c>
    </row>
    <row r="13" spans="1:25" x14ac:dyDescent="0.25">
      <c r="C13" s="6">
        <v>250</v>
      </c>
      <c r="E13" s="6">
        <v>18</v>
      </c>
      <c r="G13" s="6">
        <v>63</v>
      </c>
      <c r="K13" s="6">
        <v>13</v>
      </c>
      <c r="M13" s="6">
        <v>2</v>
      </c>
      <c r="O13" s="6">
        <v>47</v>
      </c>
      <c r="Q13" s="6"/>
      <c r="S13" s="6">
        <v>2</v>
      </c>
      <c r="U13" s="6">
        <v>28</v>
      </c>
      <c r="W13" s="6">
        <v>1</v>
      </c>
    </row>
    <row r="14" spans="1:25" x14ac:dyDescent="0.25">
      <c r="C14" s="6">
        <v>200</v>
      </c>
      <c r="E14" s="6">
        <v>22</v>
      </c>
      <c r="G14" s="6">
        <v>90</v>
      </c>
      <c r="K14" s="6">
        <v>33</v>
      </c>
      <c r="M14" s="6">
        <v>3</v>
      </c>
      <c r="O14" s="6">
        <v>18</v>
      </c>
      <c r="Q14" s="6"/>
      <c r="S14" s="6">
        <v>8</v>
      </c>
      <c r="U14" s="6">
        <v>29</v>
      </c>
    </row>
    <row r="15" spans="1:25" x14ac:dyDescent="0.25">
      <c r="C15" s="6">
        <v>240</v>
      </c>
      <c r="E15" s="6">
        <v>11</v>
      </c>
      <c r="G15" s="6">
        <v>74</v>
      </c>
      <c r="K15" s="6">
        <v>13</v>
      </c>
      <c r="M15" s="6">
        <v>5</v>
      </c>
      <c r="O15" s="6">
        <v>31</v>
      </c>
      <c r="S15" s="6">
        <v>9</v>
      </c>
      <c r="U15" s="6">
        <v>47</v>
      </c>
      <c r="W15" s="6">
        <v>2</v>
      </c>
    </row>
    <row r="16" spans="1:25" x14ac:dyDescent="0.25">
      <c r="C16" s="6">
        <v>230</v>
      </c>
      <c r="E16" s="6">
        <v>22</v>
      </c>
      <c r="G16" s="6">
        <v>69</v>
      </c>
      <c r="K16" s="6">
        <v>33</v>
      </c>
      <c r="M16" s="6">
        <v>12</v>
      </c>
      <c r="O16" s="6">
        <v>25</v>
      </c>
      <c r="Q16" s="6"/>
      <c r="S16" s="6">
        <v>7</v>
      </c>
      <c r="U16" s="6">
        <v>33</v>
      </c>
    </row>
    <row r="17" spans="1:25" s="5" customFormat="1" x14ac:dyDescent="0.25">
      <c r="C17" s="6">
        <v>389</v>
      </c>
      <c r="E17" s="6">
        <v>50</v>
      </c>
      <c r="G17" s="6">
        <v>98</v>
      </c>
      <c r="K17" s="6">
        <v>49</v>
      </c>
      <c r="M17" s="6">
        <v>16</v>
      </c>
      <c r="O17" s="6">
        <v>26</v>
      </c>
      <c r="S17" s="6">
        <v>5</v>
      </c>
      <c r="U17" s="6">
        <v>38</v>
      </c>
    </row>
    <row r="18" spans="1:25" x14ac:dyDescent="0.25">
      <c r="C18" s="9">
        <v>1</v>
      </c>
      <c r="E18" s="9"/>
      <c r="G18" s="9">
        <v>2</v>
      </c>
      <c r="I18" s="9"/>
      <c r="K18" s="9"/>
      <c r="M18" s="9"/>
      <c r="O18" s="9">
        <v>18</v>
      </c>
      <c r="Q18" s="9"/>
      <c r="S18" s="9"/>
      <c r="U18" s="9">
        <v>18</v>
      </c>
      <c r="W18" s="9"/>
      <c r="Y18" s="9"/>
    </row>
    <row r="19" spans="1:25" x14ac:dyDescent="0.25">
      <c r="A19" t="s">
        <v>13</v>
      </c>
      <c r="C19" s="5">
        <f>SUM(C8:C18)</f>
        <v>2290</v>
      </c>
      <c r="E19" s="5">
        <f t="shared" ref="E19:W19" si="0">SUM(E8:E18)</f>
        <v>234</v>
      </c>
      <c r="G19" s="5">
        <f t="shared" si="0"/>
        <v>741</v>
      </c>
      <c r="I19" s="5">
        <f t="shared" si="0"/>
        <v>0</v>
      </c>
      <c r="K19" s="5">
        <f t="shared" si="0"/>
        <v>290</v>
      </c>
      <c r="M19" s="5">
        <f t="shared" si="0"/>
        <v>78</v>
      </c>
      <c r="O19" s="5">
        <f t="shared" si="0"/>
        <v>240</v>
      </c>
      <c r="Q19" s="5">
        <f t="shared" si="0"/>
        <v>22</v>
      </c>
      <c r="S19" s="5">
        <f t="shared" si="0"/>
        <v>51</v>
      </c>
      <c r="U19" s="5">
        <f t="shared" si="0"/>
        <v>357</v>
      </c>
      <c r="W19" s="5">
        <f t="shared" si="0"/>
        <v>35</v>
      </c>
      <c r="Y19">
        <f>SUM(Y8:Y18)</f>
        <v>108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1181</v>
      </c>
    </row>
    <row r="24" spans="1:25" x14ac:dyDescent="0.25">
      <c r="K24" s="5" t="s">
        <v>17</v>
      </c>
      <c r="O24" s="9">
        <f>+C19+E19+G19</f>
        <v>3265</v>
      </c>
    </row>
    <row r="25" spans="1:25" x14ac:dyDescent="0.25">
      <c r="K25" s="5" t="s">
        <v>18</v>
      </c>
      <c r="O25" s="5">
        <f>+O23+O24</f>
        <v>4446</v>
      </c>
    </row>
    <row r="26" spans="1:25" x14ac:dyDescent="0.25">
      <c r="K26" s="6" t="s">
        <v>19</v>
      </c>
      <c r="O26" s="5">
        <v>12</v>
      </c>
    </row>
    <row r="27" spans="1:25" x14ac:dyDescent="0.25">
      <c r="K27" s="6" t="s">
        <v>20</v>
      </c>
      <c r="O27" s="9">
        <v>55</v>
      </c>
    </row>
    <row r="28" spans="1:25" x14ac:dyDescent="0.25">
      <c r="K28" s="6" t="s">
        <v>21</v>
      </c>
      <c r="O28" s="5">
        <f>+O25+O26+O27</f>
        <v>4513</v>
      </c>
    </row>
    <row r="30" spans="1:25" x14ac:dyDescent="0.25">
      <c r="K30" s="6" t="s">
        <v>22</v>
      </c>
    </row>
    <row r="31" spans="1:25" x14ac:dyDescent="0.25">
      <c r="K31" s="6" t="s">
        <v>23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f>15+18+14</f>
        <v>47</v>
      </c>
    </row>
    <row r="34" spans="1:17" x14ac:dyDescent="0.25">
      <c r="O34" s="5" t="s">
        <v>59</v>
      </c>
    </row>
    <row r="35" spans="1:17" x14ac:dyDescent="0.25">
      <c r="K35" s="6" t="s">
        <v>21</v>
      </c>
      <c r="O35" s="5">
        <f>+O28+O30+O31+O32+O33</f>
        <v>4560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300+11+100+500+150+500+100</f>
        <v>1661</v>
      </c>
      <c r="E43" s="5">
        <f>300+5+50+500+500+500+20+650+160</f>
        <v>2685</v>
      </c>
      <c r="G43" s="5">
        <f>500+500+60+50+40+25+250+280+300</f>
        <v>2005</v>
      </c>
      <c r="I43" s="5">
        <f>300+60+30+21+480+500+500+350</f>
        <v>2241</v>
      </c>
      <c r="K43" s="5">
        <f>300+7+500+500+500+500+500+500+220</f>
        <v>3527</v>
      </c>
      <c r="M43" s="5">
        <f>300+3+10+15+10+500+500+500+500+100+500+500+900+1050</f>
        <v>5388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1661</v>
      </c>
      <c r="E52" s="5">
        <f t="shared" ref="E52:Q52" si="1">SUM(E43:E51)</f>
        <v>2685</v>
      </c>
      <c r="G52" s="5">
        <f t="shared" si="1"/>
        <v>2005</v>
      </c>
      <c r="I52" s="5">
        <f t="shared" si="1"/>
        <v>2241</v>
      </c>
      <c r="K52" s="5">
        <f t="shared" si="1"/>
        <v>3527</v>
      </c>
      <c r="M52" s="5">
        <f t="shared" si="1"/>
        <v>5388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300</v>
      </c>
      <c r="F53" s="5"/>
      <c r="G53" s="7">
        <v>580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1361</v>
      </c>
      <c r="E54" s="5">
        <f t="shared" ref="E54:M54" si="2">+E52-E53</f>
        <v>2385</v>
      </c>
      <c r="G54" s="5">
        <f t="shared" si="2"/>
        <v>1425</v>
      </c>
      <c r="I54" s="5">
        <f t="shared" si="2"/>
        <v>1941</v>
      </c>
      <c r="K54" s="5">
        <f t="shared" si="2"/>
        <v>3227</v>
      </c>
      <c r="M54" s="5">
        <f t="shared" si="2"/>
        <v>5088</v>
      </c>
      <c r="Q54" s="5">
        <f>+C54+E54+G54+I54+K54+M54</f>
        <v>15427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1361</v>
      </c>
      <c r="E60" s="5">
        <f t="shared" ref="E60:M60" si="3">+E54+E57</f>
        <v>2385</v>
      </c>
      <c r="G60" s="5">
        <f t="shared" si="3"/>
        <v>1425</v>
      </c>
      <c r="I60" s="5">
        <f t="shared" si="3"/>
        <v>1941</v>
      </c>
      <c r="K60" s="5">
        <f t="shared" si="3"/>
        <v>3227</v>
      </c>
      <c r="M60" s="5">
        <f t="shared" si="3"/>
        <v>5088</v>
      </c>
      <c r="Q60" s="5">
        <f>+Q54+Q57</f>
        <v>15427</v>
      </c>
    </row>
    <row r="63" spans="1:36" s="8" customFormat="1" ht="15.75" thickBot="1" x14ac:dyDescent="0.3">
      <c r="A63" s="5" t="s">
        <v>39</v>
      </c>
      <c r="B63" s="5"/>
      <c r="C63" s="8">
        <f>+C60</f>
        <v>1361</v>
      </c>
      <c r="E63" s="8">
        <f t="shared" ref="E63:Q63" si="4">+E60</f>
        <v>2385</v>
      </c>
      <c r="G63" s="8">
        <f t="shared" si="4"/>
        <v>1425</v>
      </c>
      <c r="I63" s="8">
        <f t="shared" si="4"/>
        <v>1941</v>
      </c>
      <c r="K63" s="8">
        <f t="shared" si="4"/>
        <v>3227</v>
      </c>
      <c r="M63" s="8">
        <f t="shared" si="4"/>
        <v>5088</v>
      </c>
      <c r="O63" s="8">
        <f t="shared" si="4"/>
        <v>0</v>
      </c>
      <c r="Q63" s="8">
        <f t="shared" si="4"/>
        <v>15427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1" x14ac:dyDescent="0.25">
      <c r="A65" t="s">
        <v>40</v>
      </c>
      <c r="C65" s="5">
        <f>40+30+2137</f>
        <v>2207</v>
      </c>
      <c r="E65" s="5">
        <f>34+88+2897</f>
        <v>3019</v>
      </c>
      <c r="G65" s="5">
        <f>70+77+2286</f>
        <v>2433</v>
      </c>
      <c r="I65" s="5">
        <f>92+166+2096</f>
        <v>2354</v>
      </c>
    </row>
    <row r="67" spans="1:11" x14ac:dyDescent="0.25">
      <c r="A67" t="s">
        <v>42</v>
      </c>
    </row>
    <row r="68" spans="1:11" x14ac:dyDescent="0.25">
      <c r="A68" t="s">
        <v>41</v>
      </c>
      <c r="C68" s="10">
        <f>+Q60</f>
        <v>15427</v>
      </c>
      <c r="I68" s="5" t="s">
        <v>43</v>
      </c>
      <c r="K68" s="11">
        <f>+C65+E65+G65+I65+K65+M65+C68</f>
        <v>25440</v>
      </c>
    </row>
  </sheetData>
  <pageMargins left="0.7" right="0.7" top="0.75" bottom="0.75" header="0.3" footer="0.3"/>
  <pageSetup scale="72" orientation="landscape" r:id="rId1"/>
  <rowBreaks count="1" manualBreakCount="1">
    <brk id="38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topLeftCell="A27" zoomScaleNormal="100" workbookViewId="0">
      <selection activeCell="O27" sqref="O27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68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1200</v>
      </c>
      <c r="E8" s="5">
        <v>245</v>
      </c>
      <c r="G8" s="5">
        <v>482</v>
      </c>
      <c r="K8" s="5">
        <v>160</v>
      </c>
      <c r="M8" s="5">
        <v>36</v>
      </c>
      <c r="O8" s="5">
        <v>139</v>
      </c>
      <c r="Q8" s="5">
        <v>20</v>
      </c>
      <c r="S8" s="5">
        <v>35</v>
      </c>
      <c r="U8" s="5">
        <f>321+22</f>
        <v>343</v>
      </c>
      <c r="W8" s="5">
        <v>45</v>
      </c>
      <c r="Y8">
        <v>51</v>
      </c>
    </row>
    <row r="9" spans="1:25" x14ac:dyDescent="0.25">
      <c r="Y9">
        <v>96</v>
      </c>
    </row>
    <row r="11" spans="1:25" x14ac:dyDescent="0.25">
      <c r="C11" s="6"/>
      <c r="E11" s="6"/>
      <c r="G11" s="6"/>
      <c r="K11" s="6"/>
      <c r="M11" s="6"/>
      <c r="O11" s="6"/>
      <c r="Q11" s="6"/>
      <c r="S11" s="6"/>
      <c r="U11" s="6"/>
      <c r="W11" s="6"/>
    </row>
    <row r="12" spans="1:25" x14ac:dyDescent="0.25">
      <c r="C12" s="6"/>
      <c r="E12" s="6"/>
      <c r="G12" s="6"/>
      <c r="K12" s="6"/>
      <c r="M12" s="6"/>
      <c r="O12" s="6"/>
      <c r="U12" s="6"/>
      <c r="W12" s="6"/>
    </row>
    <row r="13" spans="1:25" x14ac:dyDescent="0.25">
      <c r="C13" s="6"/>
      <c r="E13" s="6"/>
      <c r="G13" s="6"/>
      <c r="K13" s="6"/>
      <c r="M13" s="6"/>
      <c r="O13" s="6"/>
      <c r="Q13" s="6"/>
      <c r="S13" s="6"/>
      <c r="U13" s="6"/>
      <c r="W13" s="6"/>
    </row>
    <row r="14" spans="1:25" x14ac:dyDescent="0.25">
      <c r="C14" s="6"/>
      <c r="E14" s="6"/>
      <c r="G14" s="6"/>
      <c r="K14" s="6"/>
      <c r="M14" s="6"/>
      <c r="O14" s="6"/>
      <c r="Q14" s="6"/>
      <c r="S14" s="6"/>
      <c r="U14" s="6"/>
    </row>
    <row r="15" spans="1:25" x14ac:dyDescent="0.25">
      <c r="C15" s="6"/>
      <c r="E15" s="6"/>
      <c r="G15" s="6"/>
      <c r="K15" s="6"/>
      <c r="M15" s="6"/>
      <c r="O15" s="6"/>
      <c r="S15" s="6"/>
      <c r="U15" s="6"/>
      <c r="W15" s="6"/>
    </row>
    <row r="16" spans="1:25" x14ac:dyDescent="0.25">
      <c r="C16" s="6"/>
      <c r="E16" s="6"/>
      <c r="G16" s="6"/>
      <c r="K16" s="6"/>
      <c r="M16" s="6"/>
      <c r="O16" s="6"/>
      <c r="Q16" s="6"/>
      <c r="S16" s="6"/>
      <c r="U16" s="6"/>
    </row>
    <row r="17" spans="1:25" s="5" customFormat="1" x14ac:dyDescent="0.25">
      <c r="C17" s="6"/>
      <c r="E17" s="6"/>
      <c r="G17" s="6"/>
      <c r="K17" s="6"/>
      <c r="M17" s="6"/>
      <c r="O17" s="6"/>
      <c r="S17" s="6"/>
      <c r="U17" s="6"/>
    </row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1200</v>
      </c>
      <c r="E19" s="5">
        <f t="shared" ref="E19:W19" si="0">SUM(E8:E18)</f>
        <v>245</v>
      </c>
      <c r="G19" s="5">
        <f t="shared" si="0"/>
        <v>482</v>
      </c>
      <c r="I19" s="5">
        <f t="shared" si="0"/>
        <v>0</v>
      </c>
      <c r="K19" s="5">
        <f t="shared" si="0"/>
        <v>160</v>
      </c>
      <c r="M19" s="5">
        <f t="shared" si="0"/>
        <v>36</v>
      </c>
      <c r="O19" s="5">
        <f t="shared" si="0"/>
        <v>139</v>
      </c>
      <c r="Q19" s="5">
        <f t="shared" si="0"/>
        <v>20</v>
      </c>
      <c r="S19" s="5">
        <f t="shared" si="0"/>
        <v>35</v>
      </c>
      <c r="U19" s="5">
        <f t="shared" si="0"/>
        <v>343</v>
      </c>
      <c r="W19" s="5">
        <f t="shared" si="0"/>
        <v>45</v>
      </c>
      <c r="Y19">
        <f>SUM(Y8:Y18)</f>
        <v>147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925</v>
      </c>
    </row>
    <row r="24" spans="1:25" x14ac:dyDescent="0.25">
      <c r="K24" s="5" t="s">
        <v>17</v>
      </c>
      <c r="O24" s="9">
        <f>+C19+E19+G19</f>
        <v>1927</v>
      </c>
    </row>
    <row r="25" spans="1:25" x14ac:dyDescent="0.25">
      <c r="K25" s="5" t="s">
        <v>18</v>
      </c>
      <c r="O25" s="5">
        <f>+O23+O24</f>
        <v>2852</v>
      </c>
    </row>
    <row r="26" spans="1:25" x14ac:dyDescent="0.25">
      <c r="K26" s="6" t="s">
        <v>19</v>
      </c>
      <c r="O26" s="5">
        <v>9</v>
      </c>
    </row>
    <row r="27" spans="1:25" x14ac:dyDescent="0.25">
      <c r="K27" s="6" t="s">
        <v>20</v>
      </c>
      <c r="O27" s="9">
        <v>46</v>
      </c>
    </row>
    <row r="28" spans="1:25" x14ac:dyDescent="0.25">
      <c r="K28" s="6" t="s">
        <v>21</v>
      </c>
      <c r="O28" s="5">
        <f>+O25+O26+O27</f>
        <v>2907</v>
      </c>
    </row>
    <row r="30" spans="1:25" x14ac:dyDescent="0.25">
      <c r="K30" s="6" t="s">
        <v>22</v>
      </c>
    </row>
    <row r="31" spans="1:25" x14ac:dyDescent="0.25">
      <c r="K31" s="6" t="s">
        <v>23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v>18</v>
      </c>
    </row>
    <row r="34" spans="1:17" x14ac:dyDescent="0.25">
      <c r="O34" s="5" t="s">
        <v>59</v>
      </c>
    </row>
    <row r="35" spans="1:17" x14ac:dyDescent="0.25">
      <c r="K35" s="6" t="s">
        <v>21</v>
      </c>
      <c r="O35" s="5">
        <f>+O28+O30+O31+O32+O33</f>
        <v>2925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500+100+500+18+110+90+100</f>
        <v>1418</v>
      </c>
      <c r="E43" s="5">
        <f>21+25+95+40+500+500+20+400</f>
        <v>1601</v>
      </c>
      <c r="G43" s="5">
        <f>50+500+420+130+70+25+16+280</f>
        <v>1491</v>
      </c>
      <c r="I43" s="5">
        <f>450+640+100+30+80+25+19</f>
        <v>1344</v>
      </c>
      <c r="K43" s="5">
        <f>400+400+500+500+500+500+500+220+100+60+1+25</f>
        <v>3706</v>
      </c>
      <c r="M43" s="5">
        <f>420+150+85+25+25+12</f>
        <v>717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1418</v>
      </c>
      <c r="E52" s="5">
        <f t="shared" ref="E52:Q52" si="1">SUM(E43:E51)</f>
        <v>1601</v>
      </c>
      <c r="G52" s="5">
        <f t="shared" si="1"/>
        <v>1491</v>
      </c>
      <c r="I52" s="5">
        <f t="shared" si="1"/>
        <v>1344</v>
      </c>
      <c r="K52" s="5">
        <f t="shared" si="1"/>
        <v>3706</v>
      </c>
      <c r="M52" s="5">
        <f t="shared" si="1"/>
        <v>717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300</v>
      </c>
      <c r="F53" s="5"/>
      <c r="G53" s="7">
        <v>580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1118</v>
      </c>
      <c r="E54" s="5">
        <f t="shared" ref="E54:M54" si="2">+E52-E53</f>
        <v>1301</v>
      </c>
      <c r="G54" s="5">
        <f t="shared" si="2"/>
        <v>911</v>
      </c>
      <c r="I54" s="5">
        <f t="shared" si="2"/>
        <v>1044</v>
      </c>
      <c r="K54" s="5">
        <f t="shared" si="2"/>
        <v>3406</v>
      </c>
      <c r="M54" s="5">
        <f t="shared" si="2"/>
        <v>417</v>
      </c>
      <c r="Q54" s="5">
        <f>+C54+E54+G54+I54+K54+M54</f>
        <v>8197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1118</v>
      </c>
      <c r="E60" s="5">
        <f t="shared" ref="E60:M60" si="3">+E54+E57</f>
        <v>1301</v>
      </c>
      <c r="G60" s="5">
        <f t="shared" si="3"/>
        <v>911</v>
      </c>
      <c r="I60" s="5">
        <f t="shared" si="3"/>
        <v>1044</v>
      </c>
      <c r="K60" s="5">
        <f t="shared" si="3"/>
        <v>3406</v>
      </c>
      <c r="M60" s="5">
        <f t="shared" si="3"/>
        <v>417</v>
      </c>
      <c r="Q60" s="5">
        <f>+Q54+Q57</f>
        <v>8197</v>
      </c>
    </row>
    <row r="63" spans="1:36" s="8" customFormat="1" ht="15.75" thickBot="1" x14ac:dyDescent="0.3">
      <c r="A63" s="5" t="s">
        <v>39</v>
      </c>
      <c r="B63" s="5"/>
      <c r="C63" s="8">
        <f>+C60</f>
        <v>1118</v>
      </c>
      <c r="E63" s="8">
        <f t="shared" ref="E63:Q63" si="4">+E60</f>
        <v>1301</v>
      </c>
      <c r="G63" s="8">
        <f t="shared" si="4"/>
        <v>911</v>
      </c>
      <c r="I63" s="8">
        <f t="shared" si="4"/>
        <v>1044</v>
      </c>
      <c r="K63" s="8">
        <f t="shared" si="4"/>
        <v>3406</v>
      </c>
      <c r="M63" s="8">
        <f t="shared" si="4"/>
        <v>417</v>
      </c>
      <c r="O63" s="8">
        <f t="shared" si="4"/>
        <v>0</v>
      </c>
      <c r="Q63" s="8">
        <f t="shared" si="4"/>
        <v>8197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1" x14ac:dyDescent="0.25">
      <c r="A65" t="s">
        <v>40</v>
      </c>
      <c r="C65" s="5">
        <f>35+1245</f>
        <v>1280</v>
      </c>
      <c r="E65" s="5">
        <f>48+21+1272</f>
        <v>1341</v>
      </c>
      <c r="G65" s="5">
        <f>66+1075</f>
        <v>1141</v>
      </c>
      <c r="I65" s="5">
        <f>50+1089</f>
        <v>1139</v>
      </c>
    </row>
    <row r="67" spans="1:11" x14ac:dyDescent="0.25">
      <c r="A67" t="s">
        <v>42</v>
      </c>
    </row>
    <row r="68" spans="1:11" x14ac:dyDescent="0.25">
      <c r="A68" t="s">
        <v>41</v>
      </c>
      <c r="C68" s="10">
        <f>+Q60</f>
        <v>8197</v>
      </c>
      <c r="I68" s="5" t="s">
        <v>43</v>
      </c>
      <c r="K68" s="11">
        <f>+C65+E65+G65+I65+K65+M65+C68</f>
        <v>13098</v>
      </c>
    </row>
  </sheetData>
  <pageMargins left="0.7" right="0.7" top="0.75" bottom="0.75" header="0.3" footer="0.3"/>
  <pageSetup scale="72" orientation="landscape" r:id="rId1"/>
  <rowBreaks count="1" manualBreakCount="1">
    <brk id="38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zoomScaleNormal="100" workbookViewId="0">
      <selection activeCell="H17" sqref="H17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69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49</v>
      </c>
      <c r="E8" s="5">
        <v>101</v>
      </c>
      <c r="G8" s="5">
        <v>128</v>
      </c>
      <c r="K8" s="5">
        <v>21</v>
      </c>
      <c r="M8" s="5">
        <v>1</v>
      </c>
      <c r="O8" s="5">
        <v>19</v>
      </c>
      <c r="S8" s="5">
        <v>7</v>
      </c>
      <c r="U8" s="5">
        <v>102</v>
      </c>
      <c r="W8" s="5">
        <v>8</v>
      </c>
      <c r="Y8">
        <v>19</v>
      </c>
    </row>
    <row r="9" spans="1:25" x14ac:dyDescent="0.25">
      <c r="C9" s="5">
        <v>100</v>
      </c>
      <c r="Y9">
        <v>26</v>
      </c>
    </row>
    <row r="10" spans="1:25" x14ac:dyDescent="0.25">
      <c r="C10" s="5">
        <v>100</v>
      </c>
    </row>
    <row r="11" spans="1:25" x14ac:dyDescent="0.25">
      <c r="C11" s="6">
        <v>100</v>
      </c>
      <c r="E11" s="6"/>
      <c r="G11" s="6"/>
      <c r="K11" s="6"/>
      <c r="M11" s="6"/>
      <c r="O11" s="6"/>
      <c r="Q11" s="6"/>
      <c r="S11" s="6"/>
      <c r="U11" s="6"/>
      <c r="W11" s="6"/>
    </row>
    <row r="12" spans="1:25" x14ac:dyDescent="0.25">
      <c r="C12" s="6">
        <v>25</v>
      </c>
      <c r="E12" s="6"/>
      <c r="G12" s="6"/>
      <c r="K12" s="6"/>
      <c r="M12" s="6"/>
      <c r="O12" s="6"/>
      <c r="U12" s="6"/>
      <c r="W12" s="6"/>
    </row>
    <row r="13" spans="1:25" x14ac:dyDescent="0.25">
      <c r="C13" s="6"/>
      <c r="E13" s="6"/>
      <c r="G13" s="6"/>
      <c r="K13" s="6"/>
      <c r="M13" s="6"/>
      <c r="O13" s="6"/>
      <c r="Q13" s="6"/>
      <c r="S13" s="6"/>
      <c r="U13" s="6"/>
      <c r="W13" s="6"/>
    </row>
    <row r="14" spans="1:25" x14ac:dyDescent="0.25">
      <c r="C14" s="6"/>
      <c r="E14" s="6"/>
      <c r="G14" s="6"/>
      <c r="K14" s="6"/>
      <c r="M14" s="6"/>
      <c r="O14" s="6"/>
      <c r="Q14" s="6"/>
      <c r="S14" s="6"/>
      <c r="U14" s="6"/>
    </row>
    <row r="15" spans="1:25" x14ac:dyDescent="0.25">
      <c r="C15" s="6"/>
      <c r="E15" s="6"/>
      <c r="G15" s="6"/>
      <c r="K15" s="6"/>
      <c r="M15" s="6"/>
      <c r="O15" s="6"/>
      <c r="S15" s="6"/>
      <c r="U15" s="6"/>
      <c r="W15" s="6"/>
    </row>
    <row r="16" spans="1:25" x14ac:dyDescent="0.25">
      <c r="C16" s="6"/>
      <c r="E16" s="6"/>
      <c r="G16" s="6"/>
      <c r="K16" s="6"/>
      <c r="M16" s="6"/>
      <c r="O16" s="6"/>
      <c r="Q16" s="6"/>
      <c r="S16" s="6"/>
      <c r="U16" s="6"/>
    </row>
    <row r="17" spans="1:25" s="5" customFormat="1" x14ac:dyDescent="0.25">
      <c r="C17" s="6"/>
      <c r="E17" s="6"/>
      <c r="G17" s="6"/>
      <c r="K17" s="6"/>
      <c r="M17" s="6"/>
      <c r="O17" s="6"/>
      <c r="S17" s="6"/>
      <c r="U17" s="6"/>
    </row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374</v>
      </c>
      <c r="E19" s="5">
        <f t="shared" ref="E19:W19" si="0">SUM(E8:E18)</f>
        <v>101</v>
      </c>
      <c r="G19" s="5">
        <f t="shared" si="0"/>
        <v>128</v>
      </c>
      <c r="I19" s="5">
        <f t="shared" si="0"/>
        <v>0</v>
      </c>
      <c r="K19" s="5">
        <f t="shared" si="0"/>
        <v>21</v>
      </c>
      <c r="M19" s="5">
        <f t="shared" si="0"/>
        <v>1</v>
      </c>
      <c r="O19" s="5">
        <f t="shared" si="0"/>
        <v>19</v>
      </c>
      <c r="Q19" s="5">
        <f t="shared" si="0"/>
        <v>0</v>
      </c>
      <c r="S19" s="5">
        <f t="shared" si="0"/>
        <v>7</v>
      </c>
      <c r="U19" s="5">
        <f t="shared" si="0"/>
        <v>102</v>
      </c>
      <c r="W19" s="5">
        <f t="shared" si="0"/>
        <v>8</v>
      </c>
      <c r="Y19">
        <f>SUM(Y8:Y18)</f>
        <v>45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203</v>
      </c>
    </row>
    <row r="24" spans="1:25" x14ac:dyDescent="0.25">
      <c r="K24" s="5" t="s">
        <v>17</v>
      </c>
      <c r="O24" s="9">
        <f>+C19+E19+G19</f>
        <v>603</v>
      </c>
    </row>
    <row r="25" spans="1:25" x14ac:dyDescent="0.25">
      <c r="K25" s="5" t="s">
        <v>18</v>
      </c>
      <c r="O25" s="5">
        <f>+O23+O24</f>
        <v>806</v>
      </c>
    </row>
    <row r="26" spans="1:25" x14ac:dyDescent="0.25">
      <c r="K26" s="6" t="s">
        <v>19</v>
      </c>
      <c r="O26" s="5">
        <v>9</v>
      </c>
    </row>
    <row r="27" spans="1:25" x14ac:dyDescent="0.25">
      <c r="K27" s="6" t="s">
        <v>20</v>
      </c>
      <c r="O27" s="9">
        <v>42</v>
      </c>
    </row>
    <row r="28" spans="1:25" x14ac:dyDescent="0.25">
      <c r="K28" s="6" t="s">
        <v>21</v>
      </c>
      <c r="O28" s="5">
        <f>+O25+O26+O27</f>
        <v>857</v>
      </c>
    </row>
    <row r="30" spans="1:25" x14ac:dyDescent="0.25">
      <c r="K30" s="6" t="s">
        <v>22</v>
      </c>
      <c r="O30" s="5">
        <f>23+18</f>
        <v>41</v>
      </c>
    </row>
    <row r="31" spans="1:25" x14ac:dyDescent="0.25">
      <c r="K31" s="6" t="s">
        <v>23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v>198</v>
      </c>
    </row>
    <row r="34" spans="1:17" x14ac:dyDescent="0.25">
      <c r="O34" s="5" t="s">
        <v>59</v>
      </c>
    </row>
    <row r="35" spans="1:17" x14ac:dyDescent="0.25">
      <c r="K35" s="6" t="s">
        <v>21</v>
      </c>
      <c r="O35" s="5">
        <f>+O28+O30+O31+O32+O33</f>
        <v>1096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560+150+100+50+18</f>
        <v>878</v>
      </c>
      <c r="E43" s="5">
        <f>100+700+140+95+50+10</f>
        <v>1095</v>
      </c>
      <c r="G43" s="5">
        <f>280+280+90+80+50+5</f>
        <v>785</v>
      </c>
      <c r="I43" s="5">
        <f>50+380+130+90+50+11</f>
        <v>711</v>
      </c>
      <c r="K43" s="5">
        <f>150+75+75</f>
        <v>300</v>
      </c>
      <c r="M43" s="5">
        <f>200+180+95+50+19</f>
        <v>544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878</v>
      </c>
      <c r="E52" s="5">
        <f t="shared" ref="E52:Q52" si="1">SUM(E43:E51)</f>
        <v>1095</v>
      </c>
      <c r="G52" s="5">
        <f t="shared" si="1"/>
        <v>785</v>
      </c>
      <c r="I52" s="5">
        <f t="shared" si="1"/>
        <v>711</v>
      </c>
      <c r="K52" s="5">
        <f t="shared" si="1"/>
        <v>300</v>
      </c>
      <c r="M52" s="5">
        <f t="shared" si="1"/>
        <v>544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300</v>
      </c>
      <c r="F53" s="5"/>
      <c r="G53" s="7">
        <v>580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578</v>
      </c>
      <c r="E54" s="5">
        <f t="shared" ref="E54:M54" si="2">+E52-E53</f>
        <v>795</v>
      </c>
      <c r="G54" s="5">
        <f t="shared" si="2"/>
        <v>205</v>
      </c>
      <c r="I54" s="5">
        <f t="shared" si="2"/>
        <v>411</v>
      </c>
      <c r="K54" s="5">
        <f t="shared" si="2"/>
        <v>0</v>
      </c>
      <c r="M54" s="5">
        <f t="shared" si="2"/>
        <v>244</v>
      </c>
      <c r="Q54" s="5">
        <f>+C54+E54+G54+I54+K54+M54</f>
        <v>2233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578</v>
      </c>
      <c r="E60" s="5">
        <f t="shared" ref="E60:M60" si="3">+E54+E57</f>
        <v>795</v>
      </c>
      <c r="G60" s="5">
        <f t="shared" si="3"/>
        <v>205</v>
      </c>
      <c r="I60" s="5">
        <f t="shared" si="3"/>
        <v>411</v>
      </c>
      <c r="K60" s="5">
        <f t="shared" si="3"/>
        <v>0</v>
      </c>
      <c r="M60" s="5">
        <f t="shared" si="3"/>
        <v>244</v>
      </c>
      <c r="Q60" s="5">
        <f>+Q54+Q57</f>
        <v>2233</v>
      </c>
    </row>
    <row r="63" spans="1:36" s="8" customFormat="1" ht="15.75" thickBot="1" x14ac:dyDescent="0.3">
      <c r="A63" s="5" t="s">
        <v>39</v>
      </c>
      <c r="B63" s="5"/>
      <c r="C63" s="8">
        <f>+C60</f>
        <v>578</v>
      </c>
      <c r="E63" s="8">
        <f t="shared" ref="E63:Q63" si="4">+E60</f>
        <v>795</v>
      </c>
      <c r="G63" s="8">
        <f t="shared" si="4"/>
        <v>205</v>
      </c>
      <c r="I63" s="8">
        <f t="shared" si="4"/>
        <v>411</v>
      </c>
      <c r="K63" s="8">
        <f t="shared" si="4"/>
        <v>0</v>
      </c>
      <c r="M63" s="8">
        <f t="shared" si="4"/>
        <v>244</v>
      </c>
      <c r="O63" s="8">
        <f t="shared" si="4"/>
        <v>0</v>
      </c>
      <c r="Q63" s="8">
        <f t="shared" si="4"/>
        <v>2233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1" x14ac:dyDescent="0.25">
      <c r="A65" t="s">
        <v>40</v>
      </c>
      <c r="C65" s="5">
        <f>99+88+534</f>
        <v>721</v>
      </c>
      <c r="E65" s="5">
        <f>10+538</f>
        <v>548</v>
      </c>
      <c r="G65" s="5">
        <f>20+1109</f>
        <v>1129</v>
      </c>
      <c r="I65" s="5">
        <v>241</v>
      </c>
    </row>
    <row r="67" spans="1:11" x14ac:dyDescent="0.25">
      <c r="A67" t="s">
        <v>42</v>
      </c>
    </row>
    <row r="68" spans="1:11" x14ac:dyDescent="0.25">
      <c r="A68" t="s">
        <v>41</v>
      </c>
      <c r="C68" s="10">
        <f>+Q60</f>
        <v>2233</v>
      </c>
      <c r="I68" s="5" t="s">
        <v>43</v>
      </c>
      <c r="K68" s="11">
        <f>+C65+E65+G65+I65+K65+M65+C68</f>
        <v>4872</v>
      </c>
    </row>
  </sheetData>
  <pageMargins left="0.7" right="0.7" top="0.75" bottom="0.75" header="0.3" footer="0.3"/>
  <pageSetup scale="72" orientation="landscape" r:id="rId1"/>
  <rowBreaks count="1" manualBreakCount="1">
    <brk id="37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topLeftCell="A21" zoomScaleNormal="100" workbookViewId="0">
      <selection activeCell="F33" sqref="F33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70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409</v>
      </c>
      <c r="E8" s="5">
        <v>25</v>
      </c>
      <c r="G8" s="5">
        <v>111</v>
      </c>
      <c r="K8" s="5">
        <v>13</v>
      </c>
      <c r="M8" s="5">
        <v>4</v>
      </c>
      <c r="O8" s="5">
        <v>17</v>
      </c>
      <c r="S8" s="5">
        <v>5</v>
      </c>
      <c r="U8" s="5">
        <v>88</v>
      </c>
      <c r="W8" s="5">
        <v>5</v>
      </c>
      <c r="Y8">
        <f>7+8+3</f>
        <v>18</v>
      </c>
    </row>
    <row r="9" spans="1:25" x14ac:dyDescent="0.25">
      <c r="Y9">
        <v>15</v>
      </c>
    </row>
    <row r="11" spans="1:25" x14ac:dyDescent="0.25">
      <c r="C11" s="6"/>
      <c r="E11" s="6"/>
      <c r="G11" s="6"/>
      <c r="K11" s="6"/>
      <c r="M11" s="6"/>
      <c r="O11" s="6"/>
      <c r="Q11" s="6"/>
      <c r="S11" s="6"/>
      <c r="U11" s="6"/>
      <c r="W11" s="6"/>
    </row>
    <row r="12" spans="1:25" x14ac:dyDescent="0.25">
      <c r="C12" s="6"/>
      <c r="E12" s="6"/>
      <c r="G12" s="6"/>
      <c r="K12" s="6"/>
      <c r="M12" s="6"/>
      <c r="O12" s="6"/>
      <c r="U12" s="6"/>
      <c r="W12" s="6"/>
    </row>
    <row r="13" spans="1:25" x14ac:dyDescent="0.25">
      <c r="C13" s="6"/>
      <c r="E13" s="6"/>
      <c r="G13" s="6"/>
      <c r="K13" s="6"/>
      <c r="M13" s="6"/>
      <c r="O13" s="6"/>
      <c r="Q13" s="6"/>
      <c r="S13" s="6"/>
      <c r="U13" s="6"/>
      <c r="W13" s="6"/>
    </row>
    <row r="14" spans="1:25" x14ac:dyDescent="0.25">
      <c r="C14" s="6"/>
      <c r="E14" s="6"/>
      <c r="G14" s="6"/>
      <c r="K14" s="6"/>
      <c r="M14" s="6"/>
      <c r="O14" s="6"/>
      <c r="Q14" s="6"/>
      <c r="S14" s="6"/>
      <c r="U14" s="6"/>
    </row>
    <row r="15" spans="1:25" x14ac:dyDescent="0.25">
      <c r="C15" s="6"/>
      <c r="E15" s="6"/>
      <c r="G15" s="6"/>
      <c r="K15" s="6"/>
      <c r="M15" s="6"/>
      <c r="O15" s="6"/>
      <c r="S15" s="6"/>
      <c r="U15" s="6"/>
      <c r="W15" s="6"/>
    </row>
    <row r="16" spans="1:25" x14ac:dyDescent="0.25">
      <c r="C16" s="6"/>
      <c r="E16" s="6"/>
      <c r="G16" s="6"/>
      <c r="K16" s="6"/>
      <c r="M16" s="6"/>
      <c r="O16" s="6"/>
      <c r="Q16" s="6"/>
      <c r="S16" s="6"/>
      <c r="U16" s="6"/>
    </row>
    <row r="17" spans="1:25" s="5" customFormat="1" x14ac:dyDescent="0.25">
      <c r="C17" s="6"/>
      <c r="E17" s="6"/>
      <c r="G17" s="6"/>
      <c r="K17" s="6"/>
      <c r="M17" s="6"/>
      <c r="O17" s="6"/>
      <c r="S17" s="6"/>
      <c r="U17" s="6"/>
    </row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409</v>
      </c>
      <c r="E19" s="5">
        <f t="shared" ref="E19:W19" si="0">SUM(E8:E18)</f>
        <v>25</v>
      </c>
      <c r="G19" s="5">
        <f t="shared" si="0"/>
        <v>111</v>
      </c>
      <c r="I19" s="5">
        <f t="shared" si="0"/>
        <v>0</v>
      </c>
      <c r="K19" s="5">
        <f t="shared" si="0"/>
        <v>13</v>
      </c>
      <c r="M19" s="5">
        <f t="shared" si="0"/>
        <v>4</v>
      </c>
      <c r="O19" s="5">
        <f t="shared" si="0"/>
        <v>17</v>
      </c>
      <c r="Q19" s="5">
        <f t="shared" si="0"/>
        <v>0</v>
      </c>
      <c r="S19" s="5">
        <f t="shared" si="0"/>
        <v>5</v>
      </c>
      <c r="U19" s="5">
        <f t="shared" si="0"/>
        <v>88</v>
      </c>
      <c r="W19" s="5">
        <f t="shared" si="0"/>
        <v>5</v>
      </c>
      <c r="Y19">
        <f>SUM(Y8:Y18)</f>
        <v>33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165</v>
      </c>
    </row>
    <row r="24" spans="1:25" x14ac:dyDescent="0.25">
      <c r="K24" s="5" t="s">
        <v>17</v>
      </c>
      <c r="O24" s="9">
        <f>+C19+E19+G19</f>
        <v>545</v>
      </c>
    </row>
    <row r="25" spans="1:25" x14ac:dyDescent="0.25">
      <c r="K25" s="5" t="s">
        <v>18</v>
      </c>
      <c r="O25" s="5">
        <f>+O23+O24</f>
        <v>710</v>
      </c>
    </row>
    <row r="26" spans="1:25" x14ac:dyDescent="0.25">
      <c r="K26" s="6" t="s">
        <v>19</v>
      </c>
      <c r="O26" s="5">
        <v>9</v>
      </c>
    </row>
    <row r="27" spans="1:25" x14ac:dyDescent="0.25">
      <c r="K27" s="6" t="s">
        <v>20</v>
      </c>
      <c r="O27" s="9">
        <v>39</v>
      </c>
    </row>
    <row r="28" spans="1:25" x14ac:dyDescent="0.25">
      <c r="K28" s="6" t="s">
        <v>21</v>
      </c>
      <c r="O28" s="5">
        <f>+O25+O26+O27</f>
        <v>758</v>
      </c>
    </row>
    <row r="30" spans="1:25" x14ac:dyDescent="0.25">
      <c r="K30" s="6" t="s">
        <v>22</v>
      </c>
      <c r="O30" s="5">
        <v>73</v>
      </c>
    </row>
    <row r="31" spans="1:25" x14ac:dyDescent="0.25">
      <c r="K31" s="6" t="s">
        <v>23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v>167</v>
      </c>
    </row>
    <row r="34" spans="1:17" x14ac:dyDescent="0.25">
      <c r="O34" s="5" t="s">
        <v>59</v>
      </c>
    </row>
    <row r="35" spans="1:17" x14ac:dyDescent="0.25">
      <c r="K35" s="6" t="s">
        <v>21</v>
      </c>
      <c r="O35" s="5">
        <f>+O28+O30+O31+O32+O33</f>
        <v>998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280+16+50+90+130+420</f>
        <v>986</v>
      </c>
      <c r="E43" s="5">
        <f>50+75+75+110+200</f>
        <v>510</v>
      </c>
      <c r="G43" s="5">
        <f>100+360+100+140+65+25+25+4</f>
        <v>819</v>
      </c>
      <c r="I43" s="5">
        <f>100+200+80+50+18</f>
        <v>448</v>
      </c>
      <c r="K43" s="5">
        <f>150+75+75</f>
        <v>300</v>
      </c>
      <c r="M43" s="5">
        <f>420+160+60+50+16</f>
        <v>706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986</v>
      </c>
      <c r="E52" s="5">
        <f t="shared" ref="E52:Q52" si="1">SUM(E43:E51)</f>
        <v>510</v>
      </c>
      <c r="G52" s="5">
        <f t="shared" si="1"/>
        <v>819</v>
      </c>
      <c r="I52" s="5">
        <f t="shared" si="1"/>
        <v>448</v>
      </c>
      <c r="K52" s="5">
        <f t="shared" si="1"/>
        <v>300</v>
      </c>
      <c r="M52" s="5">
        <f t="shared" si="1"/>
        <v>706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580</v>
      </c>
      <c r="D53" s="5"/>
      <c r="E53" s="7">
        <v>300</v>
      </c>
      <c r="F53" s="5"/>
      <c r="G53" s="7">
        <v>300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406</v>
      </c>
      <c r="E54" s="5">
        <f t="shared" ref="E54:M54" si="2">+E52-E53</f>
        <v>210</v>
      </c>
      <c r="G54" s="5">
        <f t="shared" si="2"/>
        <v>519</v>
      </c>
      <c r="I54" s="5">
        <f t="shared" si="2"/>
        <v>148</v>
      </c>
      <c r="K54" s="5">
        <f t="shared" si="2"/>
        <v>0</v>
      </c>
      <c r="M54" s="5">
        <f t="shared" si="2"/>
        <v>406</v>
      </c>
      <c r="Q54" s="5">
        <f>+C54+E54+G54+I54+K54+M54</f>
        <v>1689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406</v>
      </c>
      <c r="E60" s="5">
        <f t="shared" ref="E60:M60" si="3">+E54+E57</f>
        <v>210</v>
      </c>
      <c r="G60" s="5">
        <f t="shared" si="3"/>
        <v>519</v>
      </c>
      <c r="I60" s="5">
        <f t="shared" si="3"/>
        <v>148</v>
      </c>
      <c r="K60" s="5">
        <f t="shared" si="3"/>
        <v>0</v>
      </c>
      <c r="M60" s="5">
        <f t="shared" si="3"/>
        <v>406</v>
      </c>
      <c r="Q60" s="5">
        <f>+Q54+Q57</f>
        <v>1689</v>
      </c>
    </row>
    <row r="63" spans="1:36" s="8" customFormat="1" ht="15.75" thickBot="1" x14ac:dyDescent="0.3">
      <c r="A63" s="5" t="s">
        <v>39</v>
      </c>
      <c r="B63" s="5"/>
      <c r="C63" s="8">
        <f>+C60</f>
        <v>406</v>
      </c>
      <c r="E63" s="8">
        <f t="shared" ref="E63:Q63" si="4">+E60</f>
        <v>210</v>
      </c>
      <c r="G63" s="8">
        <f t="shared" si="4"/>
        <v>519</v>
      </c>
      <c r="I63" s="8">
        <f t="shared" si="4"/>
        <v>148</v>
      </c>
      <c r="K63" s="8">
        <f t="shared" si="4"/>
        <v>0</v>
      </c>
      <c r="M63" s="8">
        <f t="shared" si="4"/>
        <v>406</v>
      </c>
      <c r="O63" s="8">
        <f t="shared" si="4"/>
        <v>0</v>
      </c>
      <c r="Q63" s="8">
        <f t="shared" si="4"/>
        <v>1689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1" x14ac:dyDescent="0.25">
      <c r="A65" t="s">
        <v>40</v>
      </c>
      <c r="C65" s="5">
        <f>10+403</f>
        <v>413</v>
      </c>
      <c r="E65" s="5">
        <v>407</v>
      </c>
      <c r="G65" s="5">
        <v>571</v>
      </c>
      <c r="I65" s="5">
        <v>482</v>
      </c>
    </row>
    <row r="67" spans="1:11" x14ac:dyDescent="0.25">
      <c r="A67" t="s">
        <v>42</v>
      </c>
    </row>
    <row r="68" spans="1:11" x14ac:dyDescent="0.25">
      <c r="A68" t="s">
        <v>41</v>
      </c>
      <c r="C68" s="10">
        <f>+Q60</f>
        <v>1689</v>
      </c>
      <c r="I68" s="5" t="s">
        <v>43</v>
      </c>
      <c r="K68" s="11">
        <f>+C65+E65+G65+I65+K65+M65+C68</f>
        <v>3562</v>
      </c>
    </row>
  </sheetData>
  <pageMargins left="0.7" right="0.7" top="0.75" bottom="0.75" header="0.3" footer="0.3"/>
  <pageSetup scale="72" orientation="landscape" r:id="rId1"/>
  <rowBreaks count="1" manualBreakCount="1">
    <brk id="37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zoomScaleNormal="100" workbookViewId="0">
      <selection activeCell="A4" sqref="A4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71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f>93+100+100</f>
        <v>293</v>
      </c>
      <c r="E8" s="5">
        <v>29</v>
      </c>
      <c r="G8" s="5">
        <v>56</v>
      </c>
      <c r="K8" s="5">
        <v>36</v>
      </c>
      <c r="M8" s="5">
        <v>12</v>
      </c>
      <c r="O8" s="5">
        <v>40</v>
      </c>
      <c r="Q8" s="5">
        <v>7</v>
      </c>
      <c r="S8" s="5">
        <v>10</v>
      </c>
      <c r="U8" s="5">
        <v>76</v>
      </c>
      <c r="W8" s="5">
        <v>4</v>
      </c>
      <c r="Y8">
        <v>9</v>
      </c>
    </row>
    <row r="9" spans="1:25" x14ac:dyDescent="0.25">
      <c r="C9" s="5">
        <v>66</v>
      </c>
      <c r="G9" s="5">
        <v>13</v>
      </c>
      <c r="U9" s="5">
        <v>10</v>
      </c>
      <c r="Y9">
        <v>26</v>
      </c>
    </row>
    <row r="10" spans="1:25" x14ac:dyDescent="0.25">
      <c r="Y10">
        <v>21</v>
      </c>
    </row>
    <row r="11" spans="1:25" x14ac:dyDescent="0.25">
      <c r="C11" s="6"/>
      <c r="E11" s="6"/>
      <c r="G11" s="6"/>
      <c r="K11" s="6"/>
      <c r="M11" s="6"/>
      <c r="O11" s="6"/>
      <c r="Q11" s="6"/>
      <c r="S11" s="6"/>
      <c r="U11" s="6"/>
      <c r="W11" s="6"/>
      <c r="Y11">
        <v>12</v>
      </c>
    </row>
    <row r="12" spans="1:25" x14ac:dyDescent="0.25">
      <c r="C12" s="6"/>
      <c r="E12" s="6"/>
      <c r="G12" s="6"/>
      <c r="K12" s="6"/>
      <c r="M12" s="6"/>
      <c r="O12" s="6"/>
      <c r="U12" s="6"/>
      <c r="W12" s="6"/>
    </row>
    <row r="13" spans="1:25" x14ac:dyDescent="0.25">
      <c r="C13" s="6"/>
      <c r="E13" s="6"/>
      <c r="G13" s="6"/>
      <c r="K13" s="6"/>
      <c r="M13" s="6"/>
      <c r="O13" s="6"/>
      <c r="Q13" s="6"/>
      <c r="S13" s="6"/>
      <c r="U13" s="6"/>
      <c r="W13" s="6"/>
    </row>
    <row r="14" spans="1:25" x14ac:dyDescent="0.25">
      <c r="C14" s="6"/>
      <c r="E14" s="6"/>
      <c r="G14" s="6"/>
      <c r="K14" s="6"/>
      <c r="M14" s="6"/>
      <c r="O14" s="6"/>
      <c r="Q14" s="6"/>
      <c r="S14" s="6"/>
      <c r="U14" s="6"/>
    </row>
    <row r="15" spans="1:25" x14ac:dyDescent="0.25">
      <c r="C15" s="6"/>
      <c r="E15" s="6"/>
      <c r="G15" s="6"/>
      <c r="K15" s="6"/>
      <c r="M15" s="6"/>
      <c r="O15" s="6"/>
      <c r="S15" s="6"/>
      <c r="U15" s="6"/>
      <c r="W15" s="6"/>
    </row>
    <row r="16" spans="1:25" x14ac:dyDescent="0.25">
      <c r="C16" s="6"/>
      <c r="E16" s="6"/>
      <c r="G16" s="6"/>
      <c r="K16" s="6"/>
      <c r="M16" s="6"/>
      <c r="O16" s="6"/>
      <c r="Q16" s="6"/>
      <c r="S16" s="6"/>
      <c r="U16" s="6"/>
    </row>
    <row r="17" spans="1:25" s="5" customFormat="1" x14ac:dyDescent="0.25">
      <c r="C17" s="6"/>
      <c r="E17" s="6"/>
      <c r="G17" s="6"/>
      <c r="K17" s="6"/>
      <c r="M17" s="6"/>
      <c r="O17" s="6"/>
      <c r="S17" s="6"/>
      <c r="U17" s="6"/>
    </row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359</v>
      </c>
      <c r="E19" s="5">
        <f t="shared" ref="E19:W19" si="0">SUM(E8:E18)</f>
        <v>29</v>
      </c>
      <c r="G19" s="5">
        <f t="shared" si="0"/>
        <v>69</v>
      </c>
      <c r="I19" s="5">
        <f t="shared" si="0"/>
        <v>0</v>
      </c>
      <c r="K19" s="5">
        <f t="shared" si="0"/>
        <v>36</v>
      </c>
      <c r="M19" s="5">
        <f t="shared" si="0"/>
        <v>12</v>
      </c>
      <c r="O19" s="5">
        <f t="shared" si="0"/>
        <v>40</v>
      </c>
      <c r="Q19" s="5">
        <f t="shared" si="0"/>
        <v>7</v>
      </c>
      <c r="S19" s="5">
        <f t="shared" si="0"/>
        <v>10</v>
      </c>
      <c r="U19" s="5">
        <f t="shared" si="0"/>
        <v>86</v>
      </c>
      <c r="W19" s="5">
        <f t="shared" si="0"/>
        <v>4</v>
      </c>
      <c r="Y19">
        <f>SUM(Y8:Y18)</f>
        <v>68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263</v>
      </c>
    </row>
    <row r="24" spans="1:25" x14ac:dyDescent="0.25">
      <c r="K24" s="5" t="s">
        <v>17</v>
      </c>
      <c r="O24" s="9">
        <f>+C19+E19+G19</f>
        <v>457</v>
      </c>
    </row>
    <row r="25" spans="1:25" x14ac:dyDescent="0.25">
      <c r="K25" s="5" t="s">
        <v>18</v>
      </c>
      <c r="O25" s="5">
        <f>+O23+O24</f>
        <v>720</v>
      </c>
    </row>
    <row r="26" spans="1:25" x14ac:dyDescent="0.25">
      <c r="K26" s="6" t="s">
        <v>19</v>
      </c>
      <c r="O26" s="5">
        <v>10</v>
      </c>
    </row>
    <row r="27" spans="1:25" x14ac:dyDescent="0.25">
      <c r="K27" s="6" t="s">
        <v>20</v>
      </c>
      <c r="O27" s="9">
        <v>39</v>
      </c>
    </row>
    <row r="28" spans="1:25" x14ac:dyDescent="0.25">
      <c r="K28" s="6" t="s">
        <v>21</v>
      </c>
      <c r="O28" s="5">
        <f>+O25+O26+O27</f>
        <v>769</v>
      </c>
    </row>
    <row r="30" spans="1:25" x14ac:dyDescent="0.25">
      <c r="K30" s="6" t="s">
        <v>22</v>
      </c>
    </row>
    <row r="31" spans="1:25" x14ac:dyDescent="0.25">
      <c r="K31" s="6" t="s">
        <v>23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v>38</v>
      </c>
    </row>
    <row r="34" spans="1:17" x14ac:dyDescent="0.25">
      <c r="O34" s="5" t="s">
        <v>59</v>
      </c>
    </row>
    <row r="35" spans="1:17" x14ac:dyDescent="0.25">
      <c r="K35" s="6" t="s">
        <v>21</v>
      </c>
      <c r="O35" s="5">
        <f>+O28+O30+O31+O32+O33</f>
        <v>807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18+50+80+90+360</f>
        <v>598</v>
      </c>
      <c r="E43" s="5">
        <f>200+440+110+105+50+14</f>
        <v>919</v>
      </c>
      <c r="G43" s="5">
        <f>280+80+80+50+100+18</f>
        <v>608</v>
      </c>
      <c r="I43" s="5">
        <f>40+200+75+50+23</f>
        <v>388</v>
      </c>
      <c r="K43" s="5">
        <f>260+130+95+50+25</f>
        <v>560</v>
      </c>
      <c r="M43" s="5">
        <f>180+180+65+50+20</f>
        <v>495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598</v>
      </c>
      <c r="E52" s="5">
        <f t="shared" ref="E52:Q52" si="1">SUM(E43:E51)</f>
        <v>919</v>
      </c>
      <c r="G52" s="5">
        <f t="shared" si="1"/>
        <v>608</v>
      </c>
      <c r="I52" s="5">
        <f t="shared" si="1"/>
        <v>388</v>
      </c>
      <c r="K52" s="5">
        <f t="shared" si="1"/>
        <v>560</v>
      </c>
      <c r="M52" s="5">
        <f t="shared" si="1"/>
        <v>495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300</v>
      </c>
      <c r="F53" s="5"/>
      <c r="G53" s="7">
        <v>580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298</v>
      </c>
      <c r="E54" s="5">
        <f t="shared" ref="E54:M54" si="2">+E52-E53</f>
        <v>619</v>
      </c>
      <c r="G54" s="5">
        <f t="shared" si="2"/>
        <v>28</v>
      </c>
      <c r="I54" s="5">
        <f t="shared" si="2"/>
        <v>88</v>
      </c>
      <c r="K54" s="5">
        <f t="shared" si="2"/>
        <v>260</v>
      </c>
      <c r="M54" s="5">
        <f t="shared" si="2"/>
        <v>195</v>
      </c>
      <c r="Q54" s="5">
        <f>+C54+E54+G54+I54+K54+M54</f>
        <v>1488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298</v>
      </c>
      <c r="E60" s="5">
        <f t="shared" ref="E60:M60" si="3">+E54+E57</f>
        <v>619</v>
      </c>
      <c r="G60" s="5">
        <f t="shared" si="3"/>
        <v>28</v>
      </c>
      <c r="I60" s="5">
        <f t="shared" si="3"/>
        <v>88</v>
      </c>
      <c r="K60" s="5">
        <f t="shared" si="3"/>
        <v>260</v>
      </c>
      <c r="M60" s="5">
        <f t="shared" si="3"/>
        <v>195</v>
      </c>
      <c r="Q60" s="5">
        <f>+Q54+Q57</f>
        <v>1488</v>
      </c>
    </row>
    <row r="63" spans="1:36" s="8" customFormat="1" ht="15.75" thickBot="1" x14ac:dyDescent="0.3">
      <c r="A63" s="5" t="s">
        <v>39</v>
      </c>
      <c r="B63" s="5"/>
      <c r="C63" s="8">
        <f>+C60</f>
        <v>298</v>
      </c>
      <c r="E63" s="8">
        <f t="shared" ref="E63:Q63" si="4">+E60</f>
        <v>619</v>
      </c>
      <c r="G63" s="8">
        <f t="shared" si="4"/>
        <v>28</v>
      </c>
      <c r="I63" s="8">
        <f t="shared" si="4"/>
        <v>88</v>
      </c>
      <c r="K63" s="8">
        <f t="shared" si="4"/>
        <v>260</v>
      </c>
      <c r="M63" s="8">
        <f t="shared" si="4"/>
        <v>195</v>
      </c>
      <c r="O63" s="8">
        <f t="shared" si="4"/>
        <v>0</v>
      </c>
      <c r="Q63" s="8">
        <f t="shared" si="4"/>
        <v>1488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1" x14ac:dyDescent="0.25">
      <c r="A65" t="s">
        <v>40</v>
      </c>
      <c r="C65" s="5">
        <f>10+20+464</f>
        <v>494</v>
      </c>
      <c r="E65" s="5">
        <f>27+67+817</f>
        <v>911</v>
      </c>
      <c r="G65" s="5">
        <f>10+320</f>
        <v>330</v>
      </c>
      <c r="I65" s="5">
        <f>17+202</f>
        <v>219</v>
      </c>
    </row>
    <row r="67" spans="1:11" x14ac:dyDescent="0.25">
      <c r="A67" t="s">
        <v>42</v>
      </c>
    </row>
    <row r="68" spans="1:11" x14ac:dyDescent="0.25">
      <c r="A68" t="s">
        <v>41</v>
      </c>
      <c r="C68" s="10">
        <f>+Q60</f>
        <v>1488</v>
      </c>
      <c r="I68" s="5" t="s">
        <v>43</v>
      </c>
      <c r="K68" s="11">
        <f>+C65+E65+G65+I65+K65+M65+C68</f>
        <v>3442</v>
      </c>
    </row>
  </sheetData>
  <pageMargins left="0.7" right="0.7" top="0.75" bottom="0.75" header="0.3" footer="0.3"/>
  <pageSetup scale="72" orientation="landscape" r:id="rId1"/>
  <rowBreaks count="1" manualBreakCount="1">
    <brk id="38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zoomScaleNormal="100" workbookViewId="0">
      <selection activeCell="O28" sqref="O28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72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217</v>
      </c>
      <c r="E8" s="5">
        <v>33</v>
      </c>
      <c r="G8" s="5">
        <v>37</v>
      </c>
      <c r="K8" s="5">
        <v>32</v>
      </c>
      <c r="M8" s="5">
        <v>7</v>
      </c>
      <c r="O8" s="5">
        <v>56</v>
      </c>
      <c r="Q8" s="5">
        <v>24</v>
      </c>
      <c r="S8" s="5">
        <v>1</v>
      </c>
      <c r="U8" s="5">
        <v>34</v>
      </c>
      <c r="W8" s="5">
        <v>4</v>
      </c>
      <c r="Y8">
        <f>20+5</f>
        <v>25</v>
      </c>
    </row>
    <row r="11" spans="1:25" x14ac:dyDescent="0.25">
      <c r="C11" s="6"/>
      <c r="E11" s="6"/>
      <c r="G11" s="6"/>
      <c r="K11" s="6"/>
      <c r="M11" s="6"/>
      <c r="O11" s="6"/>
      <c r="Q11" s="6"/>
      <c r="S11" s="6"/>
      <c r="U11" s="6"/>
      <c r="W11" s="6"/>
    </row>
    <row r="12" spans="1:25" x14ac:dyDescent="0.25">
      <c r="C12" s="6"/>
      <c r="E12" s="6"/>
      <c r="G12" s="6"/>
      <c r="K12" s="6"/>
      <c r="M12" s="6"/>
      <c r="O12" s="6"/>
      <c r="U12" s="6"/>
      <c r="W12" s="6"/>
    </row>
    <row r="13" spans="1:25" x14ac:dyDescent="0.25">
      <c r="C13" s="6"/>
      <c r="E13" s="6"/>
      <c r="G13" s="6"/>
      <c r="K13" s="6"/>
      <c r="M13" s="6"/>
      <c r="O13" s="6"/>
      <c r="Q13" s="6"/>
      <c r="S13" s="6"/>
      <c r="U13" s="6"/>
      <c r="W13" s="6"/>
    </row>
    <row r="14" spans="1:25" x14ac:dyDescent="0.25">
      <c r="C14" s="6"/>
      <c r="E14" s="6"/>
      <c r="G14" s="6"/>
      <c r="K14" s="6"/>
      <c r="M14" s="6"/>
      <c r="O14" s="6"/>
      <c r="Q14" s="6"/>
      <c r="S14" s="6"/>
      <c r="U14" s="6"/>
    </row>
    <row r="15" spans="1:25" x14ac:dyDescent="0.25">
      <c r="C15" s="6"/>
      <c r="E15" s="6"/>
      <c r="G15" s="6"/>
      <c r="K15" s="6"/>
      <c r="M15" s="6"/>
      <c r="O15" s="6"/>
      <c r="S15" s="6"/>
      <c r="U15" s="6"/>
      <c r="W15" s="6"/>
    </row>
    <row r="16" spans="1:25" x14ac:dyDescent="0.25">
      <c r="C16" s="6"/>
      <c r="E16" s="6"/>
      <c r="G16" s="6"/>
      <c r="K16" s="6"/>
      <c r="M16" s="6"/>
      <c r="O16" s="6"/>
      <c r="Q16" s="6"/>
      <c r="S16" s="6"/>
      <c r="U16" s="6"/>
    </row>
    <row r="17" spans="1:25" s="5" customFormat="1" x14ac:dyDescent="0.25">
      <c r="C17" s="6"/>
      <c r="E17" s="6"/>
      <c r="G17" s="6"/>
      <c r="K17" s="6"/>
      <c r="M17" s="6"/>
      <c r="O17" s="6"/>
      <c r="S17" s="6"/>
      <c r="U17" s="6"/>
    </row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217</v>
      </c>
      <c r="E19" s="5">
        <f t="shared" ref="E19:W19" si="0">SUM(E8:E18)</f>
        <v>33</v>
      </c>
      <c r="G19" s="5">
        <f t="shared" si="0"/>
        <v>37</v>
      </c>
      <c r="I19" s="5">
        <f t="shared" si="0"/>
        <v>0</v>
      </c>
      <c r="K19" s="5">
        <f t="shared" si="0"/>
        <v>32</v>
      </c>
      <c r="M19" s="5">
        <f t="shared" si="0"/>
        <v>7</v>
      </c>
      <c r="O19" s="5">
        <f t="shared" si="0"/>
        <v>56</v>
      </c>
      <c r="Q19" s="5">
        <f t="shared" si="0"/>
        <v>24</v>
      </c>
      <c r="S19" s="5">
        <f t="shared" si="0"/>
        <v>1</v>
      </c>
      <c r="U19" s="5">
        <f t="shared" si="0"/>
        <v>34</v>
      </c>
      <c r="W19" s="5">
        <f t="shared" si="0"/>
        <v>4</v>
      </c>
      <c r="Y19">
        <f>SUM(Y8:Y18)</f>
        <v>25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183</v>
      </c>
    </row>
    <row r="24" spans="1:25" x14ac:dyDescent="0.25">
      <c r="K24" s="5" t="s">
        <v>17</v>
      </c>
      <c r="O24" s="9">
        <f>+C19+E19+G19</f>
        <v>287</v>
      </c>
    </row>
    <row r="25" spans="1:25" x14ac:dyDescent="0.25">
      <c r="K25" s="5" t="s">
        <v>18</v>
      </c>
      <c r="O25" s="5">
        <f>+O23+O24</f>
        <v>470</v>
      </c>
    </row>
    <row r="26" spans="1:25" x14ac:dyDescent="0.25">
      <c r="K26" s="6" t="s">
        <v>19</v>
      </c>
      <c r="O26" s="5">
        <v>8</v>
      </c>
    </row>
    <row r="27" spans="1:25" x14ac:dyDescent="0.25">
      <c r="K27" s="6" t="s">
        <v>20</v>
      </c>
      <c r="O27" s="9">
        <v>38</v>
      </c>
    </row>
    <row r="28" spans="1:25" x14ac:dyDescent="0.25">
      <c r="K28" s="6" t="s">
        <v>21</v>
      </c>
      <c r="O28" s="5">
        <f>+O25+O26+O27</f>
        <v>516</v>
      </c>
    </row>
    <row r="30" spans="1:25" x14ac:dyDescent="0.25">
      <c r="K30" s="6" t="s">
        <v>22</v>
      </c>
    </row>
    <row r="31" spans="1:25" x14ac:dyDescent="0.25">
      <c r="K31" s="6" t="s">
        <v>23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v>6</v>
      </c>
    </row>
    <row r="34" spans="1:17" x14ac:dyDescent="0.25">
      <c r="O34" s="5" t="s">
        <v>59</v>
      </c>
    </row>
    <row r="35" spans="1:17" x14ac:dyDescent="0.25">
      <c r="K35" s="6" t="s">
        <v>21</v>
      </c>
      <c r="O35" s="5">
        <f>+O28+O30+O31+O32+O33</f>
        <v>522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20+140+75+75</f>
        <v>310</v>
      </c>
      <c r="E43" s="5">
        <f>300+150+90+50+111-53+280</f>
        <v>928</v>
      </c>
      <c r="G43" s="5">
        <f>100+80+17+50+53+50</f>
        <v>350</v>
      </c>
      <c r="I43" s="5">
        <f>240+180+90+50+18</f>
        <v>578</v>
      </c>
      <c r="K43" s="5">
        <v>405</v>
      </c>
      <c r="M43" s="5">
        <v>320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310</v>
      </c>
      <c r="E52" s="5">
        <f t="shared" ref="E52:Q52" si="1">SUM(E43:E51)</f>
        <v>928</v>
      </c>
      <c r="G52" s="5">
        <f t="shared" si="1"/>
        <v>350</v>
      </c>
      <c r="I52" s="5">
        <f t="shared" si="1"/>
        <v>578</v>
      </c>
      <c r="K52" s="5">
        <f t="shared" si="1"/>
        <v>405</v>
      </c>
      <c r="M52" s="5">
        <f t="shared" si="1"/>
        <v>320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580</v>
      </c>
      <c r="F53" s="5"/>
      <c r="G53" s="7">
        <v>300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10</v>
      </c>
      <c r="E54" s="5">
        <f t="shared" ref="E54:M54" si="2">+E52-E53</f>
        <v>348</v>
      </c>
      <c r="G54" s="5">
        <f t="shared" si="2"/>
        <v>50</v>
      </c>
      <c r="I54" s="5">
        <f t="shared" si="2"/>
        <v>278</v>
      </c>
      <c r="K54" s="5">
        <f t="shared" si="2"/>
        <v>105</v>
      </c>
      <c r="M54" s="5">
        <f t="shared" si="2"/>
        <v>20</v>
      </c>
      <c r="Q54" s="5">
        <f>+C54+E54+G54+I54+K54+M54</f>
        <v>811</v>
      </c>
    </row>
    <row r="57" spans="1:36" x14ac:dyDescent="0.25">
      <c r="A57" t="s">
        <v>37</v>
      </c>
      <c r="E57" s="5">
        <v>200</v>
      </c>
      <c r="Q57" s="5">
        <f>+C57+E57+G57+I57+K57+M57+O57</f>
        <v>200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10</v>
      </c>
      <c r="E60" s="5">
        <f t="shared" ref="E60:M60" si="3">+E54+E57</f>
        <v>548</v>
      </c>
      <c r="G60" s="5">
        <f t="shared" si="3"/>
        <v>50</v>
      </c>
      <c r="I60" s="5">
        <f t="shared" si="3"/>
        <v>278</v>
      </c>
      <c r="K60" s="5">
        <f t="shared" si="3"/>
        <v>105</v>
      </c>
      <c r="M60" s="5">
        <f t="shared" si="3"/>
        <v>20</v>
      </c>
      <c r="Q60" s="5">
        <f>+Q54+Q57</f>
        <v>1011</v>
      </c>
    </row>
    <row r="63" spans="1:36" s="8" customFormat="1" ht="15.75" thickBot="1" x14ac:dyDescent="0.3">
      <c r="A63" s="5" t="s">
        <v>39</v>
      </c>
      <c r="B63" s="5"/>
      <c r="C63" s="8">
        <f>+C60</f>
        <v>10</v>
      </c>
      <c r="E63" s="8">
        <f t="shared" ref="E63:Q63" si="4">+E60</f>
        <v>548</v>
      </c>
      <c r="G63" s="8">
        <f t="shared" si="4"/>
        <v>50</v>
      </c>
      <c r="I63" s="8">
        <f t="shared" si="4"/>
        <v>278</v>
      </c>
      <c r="K63" s="8">
        <f t="shared" si="4"/>
        <v>105</v>
      </c>
      <c r="M63" s="8">
        <f t="shared" si="4"/>
        <v>20</v>
      </c>
      <c r="O63" s="8">
        <f t="shared" si="4"/>
        <v>0</v>
      </c>
      <c r="Q63" s="8">
        <f t="shared" si="4"/>
        <v>1011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1" x14ac:dyDescent="0.25">
      <c r="A65" t="s">
        <v>40</v>
      </c>
      <c r="C65" s="5">
        <v>10</v>
      </c>
      <c r="E65" s="5">
        <f>44+615</f>
        <v>659</v>
      </c>
      <c r="G65" s="5">
        <v>409</v>
      </c>
      <c r="I65" s="5">
        <f>20+257</f>
        <v>277</v>
      </c>
    </row>
    <row r="67" spans="1:11" x14ac:dyDescent="0.25">
      <c r="A67" t="s">
        <v>42</v>
      </c>
    </row>
    <row r="68" spans="1:11" x14ac:dyDescent="0.25">
      <c r="A68" t="s">
        <v>41</v>
      </c>
      <c r="C68" s="10">
        <f>+Q60</f>
        <v>1011</v>
      </c>
      <c r="I68" s="5" t="s">
        <v>43</v>
      </c>
      <c r="K68" s="11">
        <f>+C65+E65+G65+I65+K65+M65+C68</f>
        <v>2366</v>
      </c>
    </row>
  </sheetData>
  <pageMargins left="0.7" right="0.7" top="0.75" bottom="0.75" header="0.3" footer="0.3"/>
  <pageSetup scale="72" orientation="landscape" r:id="rId1"/>
  <rowBreaks count="1" manualBreakCount="1">
    <brk id="38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topLeftCell="A10" zoomScaleNormal="100" workbookViewId="0">
      <selection activeCell="C26" sqref="C26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73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27</v>
      </c>
      <c r="E8" s="5">
        <v>7</v>
      </c>
      <c r="G8" s="5">
        <v>8</v>
      </c>
      <c r="K8" s="5">
        <v>6</v>
      </c>
      <c r="M8" s="5">
        <v>5</v>
      </c>
      <c r="O8" s="5">
        <v>1</v>
      </c>
      <c r="Q8" s="5">
        <v>2</v>
      </c>
      <c r="U8" s="5">
        <v>3</v>
      </c>
      <c r="Y8">
        <v>13</v>
      </c>
    </row>
    <row r="9" spans="1:25" x14ac:dyDescent="0.25">
      <c r="C9" s="5">
        <v>66</v>
      </c>
      <c r="E9" s="5">
        <v>8</v>
      </c>
      <c r="G9" s="5">
        <v>31</v>
      </c>
      <c r="K9" s="5">
        <v>20</v>
      </c>
      <c r="M9" s="5">
        <v>11</v>
      </c>
      <c r="O9" s="5">
        <v>2</v>
      </c>
      <c r="Q9" s="5">
        <v>2</v>
      </c>
      <c r="U9" s="5">
        <v>13</v>
      </c>
      <c r="W9" s="5">
        <v>2</v>
      </c>
      <c r="Y9">
        <v>6</v>
      </c>
    </row>
    <row r="10" spans="1:25" x14ac:dyDescent="0.25">
      <c r="C10" s="5">
        <v>52</v>
      </c>
      <c r="E10" s="5">
        <v>18</v>
      </c>
      <c r="G10" s="5">
        <v>29</v>
      </c>
      <c r="K10" s="5">
        <v>26</v>
      </c>
      <c r="M10" s="5">
        <v>22</v>
      </c>
      <c r="U10" s="5">
        <v>20</v>
      </c>
      <c r="W10" s="5">
        <v>6</v>
      </c>
      <c r="Y10">
        <v>2</v>
      </c>
    </row>
    <row r="11" spans="1:25" x14ac:dyDescent="0.25">
      <c r="C11" s="6">
        <v>104</v>
      </c>
      <c r="E11" s="6">
        <v>16</v>
      </c>
      <c r="G11" s="6">
        <v>30</v>
      </c>
      <c r="K11" s="6">
        <v>11</v>
      </c>
      <c r="M11" s="6">
        <v>1</v>
      </c>
      <c r="O11" s="6">
        <v>15</v>
      </c>
      <c r="Q11" s="6"/>
      <c r="S11" s="6">
        <v>2</v>
      </c>
      <c r="U11" s="6">
        <v>25</v>
      </c>
      <c r="W11" s="6">
        <v>8</v>
      </c>
      <c r="Y11">
        <v>8</v>
      </c>
    </row>
    <row r="12" spans="1:25" x14ac:dyDescent="0.25">
      <c r="C12" s="6">
        <v>175</v>
      </c>
      <c r="E12" s="6">
        <v>8</v>
      </c>
      <c r="G12" s="6">
        <v>69</v>
      </c>
      <c r="K12" s="6">
        <v>24</v>
      </c>
      <c r="M12" s="6">
        <v>19</v>
      </c>
      <c r="O12" s="6">
        <v>16</v>
      </c>
      <c r="S12" s="5">
        <v>3</v>
      </c>
      <c r="U12" s="6">
        <v>21</v>
      </c>
      <c r="W12" s="6"/>
      <c r="Y12">
        <v>24</v>
      </c>
    </row>
    <row r="13" spans="1:25" x14ac:dyDescent="0.25">
      <c r="C13" s="6">
        <v>84</v>
      </c>
      <c r="E13" s="6">
        <v>14</v>
      </c>
      <c r="G13" s="6">
        <v>13</v>
      </c>
      <c r="K13" s="6">
        <v>20</v>
      </c>
      <c r="M13" s="6">
        <v>3</v>
      </c>
      <c r="O13" s="6">
        <v>80</v>
      </c>
      <c r="Q13" s="6"/>
      <c r="S13" s="6">
        <v>2</v>
      </c>
      <c r="U13" s="6">
        <v>24</v>
      </c>
      <c r="W13" s="6">
        <v>2</v>
      </c>
      <c r="Y13">
        <v>11</v>
      </c>
    </row>
    <row r="14" spans="1:25" x14ac:dyDescent="0.25">
      <c r="C14" s="6">
        <v>92</v>
      </c>
      <c r="E14" s="6">
        <v>6</v>
      </c>
      <c r="G14" s="6">
        <v>17</v>
      </c>
      <c r="K14" s="6">
        <v>2</v>
      </c>
      <c r="M14" s="6">
        <v>1</v>
      </c>
      <c r="O14" s="6">
        <v>7</v>
      </c>
      <c r="Q14" s="6"/>
      <c r="S14" s="6"/>
      <c r="U14" s="6">
        <v>15</v>
      </c>
      <c r="Y14">
        <v>14</v>
      </c>
    </row>
    <row r="15" spans="1:25" x14ac:dyDescent="0.25">
      <c r="C15" s="6">
        <v>65</v>
      </c>
      <c r="E15" s="6">
        <v>4</v>
      </c>
      <c r="G15" s="6">
        <v>9</v>
      </c>
      <c r="K15" s="6"/>
      <c r="M15" s="6"/>
      <c r="O15" s="6">
        <v>4</v>
      </c>
      <c r="S15" s="6">
        <v>3</v>
      </c>
      <c r="U15" s="6">
        <v>9</v>
      </c>
      <c r="W15" s="6">
        <v>2</v>
      </c>
      <c r="Y15">
        <v>4</v>
      </c>
    </row>
    <row r="16" spans="1:25" x14ac:dyDescent="0.25">
      <c r="C16" s="6">
        <v>96</v>
      </c>
      <c r="E16" s="6">
        <v>8</v>
      </c>
      <c r="G16" s="6">
        <v>22</v>
      </c>
      <c r="K16" s="6">
        <v>10</v>
      </c>
      <c r="M16" s="6">
        <v>4</v>
      </c>
      <c r="O16" s="6">
        <v>5</v>
      </c>
      <c r="Q16" s="6"/>
      <c r="S16" s="6"/>
      <c r="U16" s="6">
        <v>12</v>
      </c>
      <c r="W16" s="6">
        <v>2</v>
      </c>
      <c r="Y16">
        <v>35</v>
      </c>
    </row>
    <row r="17" spans="1:25" s="5" customFormat="1" x14ac:dyDescent="0.25">
      <c r="C17" s="6">
        <v>105</v>
      </c>
      <c r="E17" s="6">
        <v>15</v>
      </c>
      <c r="G17" s="6">
        <v>25</v>
      </c>
      <c r="K17" s="6">
        <v>4</v>
      </c>
      <c r="M17" s="6">
        <v>1</v>
      </c>
      <c r="O17" s="6">
        <v>11</v>
      </c>
      <c r="S17" s="6">
        <v>3</v>
      </c>
      <c r="U17" s="6">
        <v>16</v>
      </c>
    </row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866</v>
      </c>
      <c r="E19" s="5">
        <f t="shared" ref="E19:W19" si="0">SUM(E8:E18)</f>
        <v>104</v>
      </c>
      <c r="G19" s="5">
        <f t="shared" si="0"/>
        <v>253</v>
      </c>
      <c r="I19" s="5">
        <f t="shared" si="0"/>
        <v>0</v>
      </c>
      <c r="K19" s="5">
        <f t="shared" si="0"/>
        <v>123</v>
      </c>
      <c r="M19" s="5">
        <f t="shared" si="0"/>
        <v>67</v>
      </c>
      <c r="O19" s="5">
        <f t="shared" si="0"/>
        <v>141</v>
      </c>
      <c r="Q19" s="5">
        <f t="shared" si="0"/>
        <v>4</v>
      </c>
      <c r="S19" s="5">
        <f t="shared" si="0"/>
        <v>13</v>
      </c>
      <c r="U19" s="5">
        <f t="shared" si="0"/>
        <v>158</v>
      </c>
      <c r="W19" s="5">
        <f t="shared" si="0"/>
        <v>22</v>
      </c>
      <c r="Y19">
        <f>SUM(Y8:Y18)</f>
        <v>117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645</v>
      </c>
    </row>
    <row r="24" spans="1:25" x14ac:dyDescent="0.25">
      <c r="K24" s="5" t="s">
        <v>17</v>
      </c>
      <c r="O24" s="9">
        <f>+C19+E19+G19</f>
        <v>1223</v>
      </c>
    </row>
    <row r="25" spans="1:25" x14ac:dyDescent="0.25">
      <c r="K25" s="5" t="s">
        <v>18</v>
      </c>
      <c r="O25" s="5">
        <f>+O23+O24</f>
        <v>1868</v>
      </c>
    </row>
    <row r="26" spans="1:25" x14ac:dyDescent="0.25">
      <c r="K26" s="6" t="s">
        <v>19</v>
      </c>
      <c r="O26" s="5">
        <v>12</v>
      </c>
    </row>
    <row r="27" spans="1:25" x14ac:dyDescent="0.25">
      <c r="K27" s="6" t="s">
        <v>20</v>
      </c>
      <c r="O27" s="9">
        <v>54</v>
      </c>
    </row>
    <row r="28" spans="1:25" x14ac:dyDescent="0.25">
      <c r="K28" s="6" t="s">
        <v>21</v>
      </c>
      <c r="O28" s="5">
        <f>+O25+O26+O27</f>
        <v>1934</v>
      </c>
    </row>
    <row r="30" spans="1:25" x14ac:dyDescent="0.25">
      <c r="K30" s="6" t="s">
        <v>22</v>
      </c>
      <c r="O30" s="5">
        <v>25</v>
      </c>
    </row>
    <row r="31" spans="1:25" x14ac:dyDescent="0.25">
      <c r="K31" s="6" t="s">
        <v>74</v>
      </c>
      <c r="O31" s="5">
        <v>88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f>19+64+28+44+16+24+8+3+3+3</f>
        <v>212</v>
      </c>
    </row>
    <row r="34" spans="1:17" x14ac:dyDescent="0.25">
      <c r="O34" s="5" t="s">
        <v>59</v>
      </c>
    </row>
    <row r="35" spans="1:17" x14ac:dyDescent="0.25">
      <c r="K35" s="6" t="s">
        <v>21</v>
      </c>
      <c r="O35" s="5">
        <f>+O28+O30+O31+O32+O33</f>
        <v>2259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50+140+140+50+100+380+120+85+14</f>
        <v>1079</v>
      </c>
      <c r="E43" s="5">
        <f>260+50+240+90+115+50+13+240</f>
        <v>1058</v>
      </c>
      <c r="G43" s="5">
        <f>500+240+210+95+50+18</f>
        <v>1113</v>
      </c>
      <c r="I43" s="5">
        <f>150+460+170+115+54</f>
        <v>949</v>
      </c>
      <c r="K43" s="5">
        <f>150+500+480+50+85+50+3</f>
        <v>1318</v>
      </c>
      <c r="M43" s="5">
        <f>500+500+460+100+65+50+13</f>
        <v>1688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1079</v>
      </c>
      <c r="E52" s="5">
        <f t="shared" ref="E52:Q52" si="1">SUM(E43:E51)</f>
        <v>1058</v>
      </c>
      <c r="G52" s="5">
        <f t="shared" si="1"/>
        <v>1113</v>
      </c>
      <c r="I52" s="5">
        <f t="shared" si="1"/>
        <v>949</v>
      </c>
      <c r="K52" s="5">
        <f t="shared" si="1"/>
        <v>1318</v>
      </c>
      <c r="M52" s="5">
        <f t="shared" si="1"/>
        <v>1688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440</v>
      </c>
      <c r="D53" s="5"/>
      <c r="E53" s="7">
        <v>580</v>
      </c>
      <c r="F53" s="5"/>
      <c r="G53" s="7">
        <v>300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639</v>
      </c>
      <c r="E54" s="5">
        <f t="shared" ref="E54:M54" si="2">+E52-E53</f>
        <v>478</v>
      </c>
      <c r="G54" s="5">
        <f t="shared" si="2"/>
        <v>813</v>
      </c>
      <c r="I54" s="5">
        <f t="shared" si="2"/>
        <v>649</v>
      </c>
      <c r="K54" s="5">
        <f t="shared" si="2"/>
        <v>1018</v>
      </c>
      <c r="M54" s="5">
        <f t="shared" si="2"/>
        <v>1388</v>
      </c>
      <c r="Q54" s="5">
        <f>+C54+E54+G54+I54+K54+M54</f>
        <v>4985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639</v>
      </c>
      <c r="E60" s="5">
        <f t="shared" ref="E60:M60" si="3">+E54+E57</f>
        <v>478</v>
      </c>
      <c r="G60" s="5">
        <f t="shared" si="3"/>
        <v>813</v>
      </c>
      <c r="I60" s="5">
        <f t="shared" si="3"/>
        <v>649</v>
      </c>
      <c r="K60" s="5">
        <f t="shared" si="3"/>
        <v>1018</v>
      </c>
      <c r="M60" s="5">
        <f t="shared" si="3"/>
        <v>1388</v>
      </c>
      <c r="Q60" s="5">
        <f>+Q54+Q57</f>
        <v>4985</v>
      </c>
    </row>
    <row r="63" spans="1:36" s="8" customFormat="1" ht="15.75" thickBot="1" x14ac:dyDescent="0.3">
      <c r="A63" s="5" t="s">
        <v>39</v>
      </c>
      <c r="B63" s="5"/>
      <c r="C63" s="8">
        <f>+C60</f>
        <v>639</v>
      </c>
      <c r="E63" s="8">
        <f t="shared" ref="E63:Q63" si="4">+E60</f>
        <v>478</v>
      </c>
      <c r="G63" s="8">
        <f t="shared" si="4"/>
        <v>813</v>
      </c>
      <c r="I63" s="8">
        <f t="shared" si="4"/>
        <v>649</v>
      </c>
      <c r="K63" s="8">
        <f t="shared" si="4"/>
        <v>1018</v>
      </c>
      <c r="M63" s="8">
        <f t="shared" si="4"/>
        <v>1388</v>
      </c>
      <c r="O63" s="8">
        <f t="shared" si="4"/>
        <v>0</v>
      </c>
      <c r="Q63" s="8">
        <f t="shared" si="4"/>
        <v>4985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3" x14ac:dyDescent="0.25">
      <c r="A65" t="s">
        <v>40</v>
      </c>
      <c r="C65" s="5">
        <f>67+749</f>
        <v>816</v>
      </c>
      <c r="E65" s="5">
        <f>64+799</f>
        <v>863</v>
      </c>
      <c r="G65" s="5">
        <f>69+715</f>
        <v>784</v>
      </c>
      <c r="I65" s="5">
        <v>954</v>
      </c>
      <c r="K65" s="5">
        <f>7+100+1098.02</f>
        <v>1205.02</v>
      </c>
      <c r="M65" s="5">
        <f>54+777.02</f>
        <v>831.02</v>
      </c>
    </row>
    <row r="67" spans="1:13" x14ac:dyDescent="0.25">
      <c r="A67" t="s">
        <v>42</v>
      </c>
    </row>
    <row r="68" spans="1:13" x14ac:dyDescent="0.25">
      <c r="A68" t="s">
        <v>41</v>
      </c>
      <c r="C68" s="10">
        <f>+Q60</f>
        <v>4985</v>
      </c>
      <c r="I68" s="5" t="s">
        <v>43</v>
      </c>
      <c r="K68" s="11">
        <f>+C65+E65+G65+I65+K65+M65+C68</f>
        <v>10438.040000000001</v>
      </c>
    </row>
  </sheetData>
  <pageMargins left="0.7" right="0.7" top="0.75" bottom="0.75" header="0.3" footer="0.3"/>
  <pageSetup scale="72" orientation="landscape" r:id="rId1"/>
  <rowBreaks count="1" manualBreakCount="1">
    <brk id="37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topLeftCell="A31" zoomScaleNormal="100" workbookViewId="0">
      <selection activeCell="G31" sqref="G31"/>
    </sheetView>
  </sheetViews>
  <sheetFormatPr defaultRowHeight="15" x14ac:dyDescent="0.25"/>
  <cols>
    <col min="1" max="1" width="15.42578125" customWidth="1"/>
    <col min="2" max="2" width="3.140625" style="5" customWidth="1"/>
    <col min="3" max="3" width="13.710937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75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112</v>
      </c>
      <c r="E8" s="5">
        <v>11</v>
      </c>
      <c r="G8" s="5">
        <v>50</v>
      </c>
      <c r="K8" s="5">
        <v>20</v>
      </c>
      <c r="M8" s="5">
        <v>6</v>
      </c>
      <c r="O8" s="5">
        <v>10</v>
      </c>
      <c r="S8" s="5">
        <v>3</v>
      </c>
      <c r="U8" s="5">
        <v>18</v>
      </c>
      <c r="Y8">
        <v>14</v>
      </c>
    </row>
    <row r="9" spans="1:25" x14ac:dyDescent="0.25">
      <c r="C9" s="5">
        <v>162</v>
      </c>
      <c r="E9" s="5">
        <v>7</v>
      </c>
      <c r="G9" s="5">
        <v>58</v>
      </c>
      <c r="K9" s="5">
        <v>9</v>
      </c>
      <c r="M9" s="5">
        <v>5</v>
      </c>
      <c r="O9" s="5">
        <v>11</v>
      </c>
      <c r="S9" s="5">
        <v>3</v>
      </c>
      <c r="U9" s="5">
        <v>16</v>
      </c>
      <c r="W9" s="5">
        <v>12</v>
      </c>
      <c r="Y9">
        <v>11</v>
      </c>
    </row>
    <row r="10" spans="1:25" x14ac:dyDescent="0.25">
      <c r="C10" s="5">
        <v>150</v>
      </c>
      <c r="E10" s="5">
        <v>27</v>
      </c>
      <c r="G10" s="5">
        <v>77</v>
      </c>
      <c r="K10" s="5">
        <v>18</v>
      </c>
      <c r="M10" s="5">
        <v>7</v>
      </c>
      <c r="O10" s="5">
        <v>29</v>
      </c>
      <c r="Q10" s="5">
        <v>1</v>
      </c>
      <c r="S10" s="5">
        <v>2</v>
      </c>
      <c r="U10" s="5">
        <v>27</v>
      </c>
      <c r="W10" s="5">
        <v>1</v>
      </c>
      <c r="Y10">
        <v>42</v>
      </c>
    </row>
    <row r="11" spans="1:25" x14ac:dyDescent="0.25">
      <c r="C11" s="6">
        <v>80</v>
      </c>
      <c r="E11" s="6">
        <v>21</v>
      </c>
      <c r="G11" s="6">
        <v>30</v>
      </c>
      <c r="K11" s="6">
        <v>20</v>
      </c>
      <c r="M11" s="6">
        <v>6</v>
      </c>
      <c r="O11" s="6">
        <v>9</v>
      </c>
      <c r="Q11" s="6"/>
      <c r="S11" s="6">
        <v>3</v>
      </c>
      <c r="U11" s="6">
        <v>30</v>
      </c>
      <c r="W11" s="6"/>
      <c r="Y11">
        <v>15</v>
      </c>
    </row>
    <row r="12" spans="1:25" x14ac:dyDescent="0.25">
      <c r="C12" s="6">
        <v>42</v>
      </c>
      <c r="E12" s="6">
        <v>4</v>
      </c>
      <c r="G12" s="6">
        <v>27</v>
      </c>
      <c r="K12" s="6">
        <v>1</v>
      </c>
      <c r="M12" s="6">
        <v>1</v>
      </c>
      <c r="O12" s="6">
        <v>6</v>
      </c>
      <c r="S12" s="6">
        <v>24</v>
      </c>
      <c r="U12" s="6">
        <v>5</v>
      </c>
      <c r="W12" s="6"/>
      <c r="Y12">
        <v>11</v>
      </c>
    </row>
    <row r="13" spans="1:25" x14ac:dyDescent="0.25">
      <c r="C13" s="6">
        <v>200</v>
      </c>
      <c r="E13" s="6">
        <v>3</v>
      </c>
      <c r="G13" s="6">
        <v>61</v>
      </c>
      <c r="K13" s="6">
        <v>47</v>
      </c>
      <c r="M13" s="6">
        <v>12</v>
      </c>
      <c r="O13" s="6">
        <v>39</v>
      </c>
      <c r="Q13" s="6"/>
      <c r="S13" s="6">
        <v>16</v>
      </c>
      <c r="U13" s="6">
        <v>61</v>
      </c>
      <c r="W13" s="6"/>
      <c r="Y13">
        <v>142</v>
      </c>
    </row>
    <row r="14" spans="1:25" x14ac:dyDescent="0.25">
      <c r="C14" s="6">
        <v>233</v>
      </c>
      <c r="E14" s="6">
        <v>8</v>
      </c>
      <c r="G14" s="6">
        <v>59</v>
      </c>
      <c r="K14" s="6">
        <v>20</v>
      </c>
      <c r="M14" s="6">
        <v>4</v>
      </c>
      <c r="O14" s="6">
        <v>19</v>
      </c>
      <c r="Q14" s="6"/>
      <c r="S14" s="6">
        <v>7</v>
      </c>
      <c r="U14" s="6">
        <v>27</v>
      </c>
      <c r="W14" s="5">
        <v>2</v>
      </c>
      <c r="Y14">
        <v>36</v>
      </c>
    </row>
    <row r="15" spans="1:25" x14ac:dyDescent="0.25">
      <c r="C15" s="6">
        <v>200</v>
      </c>
      <c r="E15" s="6">
        <v>12</v>
      </c>
      <c r="G15" s="6">
        <v>58</v>
      </c>
      <c r="K15" s="6">
        <v>9</v>
      </c>
      <c r="M15" s="6">
        <v>3</v>
      </c>
      <c r="O15" s="6">
        <v>10</v>
      </c>
      <c r="S15" s="6">
        <v>1</v>
      </c>
      <c r="U15" s="6">
        <v>13</v>
      </c>
      <c r="W15" s="6">
        <v>1</v>
      </c>
      <c r="Y15">
        <v>54</v>
      </c>
    </row>
    <row r="16" spans="1:25" x14ac:dyDescent="0.25">
      <c r="C16" s="6">
        <v>400</v>
      </c>
      <c r="E16" s="6">
        <v>31</v>
      </c>
      <c r="G16" s="6">
        <v>115</v>
      </c>
      <c r="K16" s="6">
        <v>40</v>
      </c>
      <c r="M16" s="6">
        <v>12</v>
      </c>
      <c r="O16" s="6">
        <v>31</v>
      </c>
      <c r="Q16" s="6"/>
      <c r="S16" s="6">
        <v>2</v>
      </c>
      <c r="U16" s="6">
        <v>25</v>
      </c>
      <c r="W16" s="6">
        <v>10</v>
      </c>
      <c r="Y16">
        <f>131+55</f>
        <v>186</v>
      </c>
    </row>
    <row r="17" spans="1:25" s="5" customFormat="1" x14ac:dyDescent="0.25">
      <c r="C17" s="6">
        <v>275</v>
      </c>
      <c r="E17" s="6">
        <v>25</v>
      </c>
      <c r="G17" s="6">
        <v>100</v>
      </c>
      <c r="K17" s="6">
        <v>21</v>
      </c>
      <c r="M17" s="6">
        <v>6</v>
      </c>
      <c r="O17" s="6">
        <v>22</v>
      </c>
      <c r="Q17" s="5">
        <v>2</v>
      </c>
      <c r="S17" s="6"/>
      <c r="U17" s="6">
        <v>53</v>
      </c>
      <c r="W17" s="6">
        <v>3</v>
      </c>
      <c r="Y17" s="5">
        <v>86</v>
      </c>
    </row>
    <row r="18" spans="1:25" x14ac:dyDescent="0.25">
      <c r="C18" s="9">
        <v>450</v>
      </c>
      <c r="E18" s="9">
        <v>36</v>
      </c>
      <c r="G18" s="9">
        <v>137</v>
      </c>
      <c r="I18" s="9"/>
      <c r="K18" s="9">
        <v>35</v>
      </c>
      <c r="M18" s="9">
        <v>3</v>
      </c>
      <c r="O18" s="9">
        <v>33</v>
      </c>
      <c r="Q18" s="9">
        <v>3</v>
      </c>
      <c r="S18" s="9">
        <v>11</v>
      </c>
      <c r="U18" s="9">
        <v>59</v>
      </c>
      <c r="W18" s="9">
        <v>6</v>
      </c>
      <c r="Y18" s="9">
        <v>44</v>
      </c>
    </row>
    <row r="19" spans="1:25" x14ac:dyDescent="0.25">
      <c r="A19" t="s">
        <v>13</v>
      </c>
      <c r="C19" s="5">
        <f>SUM(C8:C18)</f>
        <v>2304</v>
      </c>
      <c r="E19" s="5">
        <f t="shared" ref="E19:W19" si="0">SUM(E8:E18)</f>
        <v>185</v>
      </c>
      <c r="G19" s="5">
        <f t="shared" si="0"/>
        <v>772</v>
      </c>
      <c r="I19" s="5">
        <f t="shared" si="0"/>
        <v>0</v>
      </c>
      <c r="K19" s="5">
        <f t="shared" si="0"/>
        <v>240</v>
      </c>
      <c r="M19" s="5">
        <f t="shared" si="0"/>
        <v>65</v>
      </c>
      <c r="O19" s="5">
        <f t="shared" si="0"/>
        <v>219</v>
      </c>
      <c r="Q19" s="5">
        <f t="shared" si="0"/>
        <v>6</v>
      </c>
      <c r="S19" s="5">
        <f t="shared" si="0"/>
        <v>72</v>
      </c>
      <c r="U19" s="5">
        <f t="shared" si="0"/>
        <v>334</v>
      </c>
      <c r="W19" s="5">
        <f t="shared" si="0"/>
        <v>35</v>
      </c>
      <c r="Y19">
        <f>SUM(Y8:Y18)</f>
        <v>641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1612</v>
      </c>
    </row>
    <row r="24" spans="1:25" x14ac:dyDescent="0.25">
      <c r="K24" s="5" t="s">
        <v>17</v>
      </c>
      <c r="O24" s="9">
        <f>+C19+E19+G19</f>
        <v>3261</v>
      </c>
    </row>
    <row r="25" spans="1:25" x14ac:dyDescent="0.25">
      <c r="K25" s="5" t="s">
        <v>18</v>
      </c>
      <c r="O25" s="5">
        <f>+O23+O24</f>
        <v>4873</v>
      </c>
    </row>
    <row r="26" spans="1:25" x14ac:dyDescent="0.25">
      <c r="K26" s="6" t="s">
        <v>19</v>
      </c>
      <c r="O26" s="5">
        <v>12</v>
      </c>
    </row>
    <row r="27" spans="1:25" x14ac:dyDescent="0.25">
      <c r="K27" s="6" t="s">
        <v>20</v>
      </c>
      <c r="O27" s="9">
        <v>46</v>
      </c>
    </row>
    <row r="28" spans="1:25" x14ac:dyDescent="0.25">
      <c r="K28" s="6" t="s">
        <v>21</v>
      </c>
      <c r="O28" s="5">
        <f>+O25+O26+O27</f>
        <v>4931</v>
      </c>
    </row>
    <row r="30" spans="1:25" x14ac:dyDescent="0.25">
      <c r="K30" s="6" t="s">
        <v>22</v>
      </c>
    </row>
    <row r="31" spans="1:25" x14ac:dyDescent="0.25">
      <c r="K31" s="6" t="s">
        <v>76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f>12+16+5+13+11+11+11+3+16+7+39</f>
        <v>144</v>
      </c>
    </row>
    <row r="34" spans="1:17" x14ac:dyDescent="0.25">
      <c r="O34" s="5" t="s">
        <v>59</v>
      </c>
    </row>
    <row r="35" spans="1:17" x14ac:dyDescent="0.25">
      <c r="K35" s="6" t="s">
        <v>21</v>
      </c>
      <c r="O35" s="5">
        <f>+O28+O30+O31+O32+O33</f>
        <v>5075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401+500+500+480+180+70+50+10+440</f>
        <v>2631</v>
      </c>
      <c r="E43" s="5">
        <f>480+500+500+200+200+10+145+26+580</f>
        <v>2641</v>
      </c>
      <c r="G43" s="5">
        <f>500+500+140+50+45+18+300</f>
        <v>1553</v>
      </c>
      <c r="I43" s="5">
        <f>200+150+500+500+500+60+140+10+17+300</f>
        <v>2377</v>
      </c>
      <c r="K43" s="5">
        <f>300+200+100+500+500+500+240+125+25+12+300</f>
        <v>2802</v>
      </c>
      <c r="M43" s="5">
        <f>200+500+500+500+500+60+750+150+60+25+300</f>
        <v>3545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2631</v>
      </c>
      <c r="E52" s="5">
        <f t="shared" ref="E52:Q52" si="1">SUM(E43:E51)</f>
        <v>2641</v>
      </c>
      <c r="G52" s="5">
        <f t="shared" si="1"/>
        <v>1553</v>
      </c>
      <c r="I52" s="5">
        <f t="shared" si="1"/>
        <v>2377</v>
      </c>
      <c r="K52" s="5">
        <f t="shared" si="1"/>
        <v>2802</v>
      </c>
      <c r="M52" s="5">
        <f t="shared" si="1"/>
        <v>3545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440</v>
      </c>
      <c r="D53" s="5"/>
      <c r="E53" s="7">
        <v>580</v>
      </c>
      <c r="F53" s="5"/>
      <c r="G53" s="7">
        <v>300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2191</v>
      </c>
      <c r="E54" s="5">
        <f t="shared" ref="E54:M54" si="2">+E52-E53</f>
        <v>2061</v>
      </c>
      <c r="G54" s="5">
        <f t="shared" si="2"/>
        <v>1253</v>
      </c>
      <c r="I54" s="5">
        <f t="shared" si="2"/>
        <v>2077</v>
      </c>
      <c r="K54" s="5">
        <f t="shared" si="2"/>
        <v>2502</v>
      </c>
      <c r="M54" s="5">
        <f t="shared" si="2"/>
        <v>3245</v>
      </c>
      <c r="Q54" s="5">
        <f>+C54+E54+G54+I54+K54+M54</f>
        <v>13329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2191</v>
      </c>
      <c r="E60" s="5">
        <f t="shared" ref="E60:M60" si="3">+E54+E57</f>
        <v>2061</v>
      </c>
      <c r="G60" s="5">
        <f t="shared" si="3"/>
        <v>1253</v>
      </c>
      <c r="I60" s="5">
        <f t="shared" si="3"/>
        <v>2077</v>
      </c>
      <c r="K60" s="5">
        <f t="shared" si="3"/>
        <v>2502</v>
      </c>
      <c r="M60" s="5">
        <f t="shared" si="3"/>
        <v>3245</v>
      </c>
      <c r="Q60" s="5">
        <f>+Q54+Q57</f>
        <v>13329</v>
      </c>
    </row>
    <row r="63" spans="1:36" s="8" customFormat="1" ht="15.75" thickBot="1" x14ac:dyDescent="0.3">
      <c r="A63" s="5" t="s">
        <v>39</v>
      </c>
      <c r="B63" s="5"/>
      <c r="C63" s="8">
        <f>+C60</f>
        <v>2191</v>
      </c>
      <c r="E63" s="8">
        <f t="shared" ref="E63:Q63" si="4">+E60</f>
        <v>2061</v>
      </c>
      <c r="G63" s="8">
        <f t="shared" si="4"/>
        <v>1253</v>
      </c>
      <c r="I63" s="8">
        <f t="shared" si="4"/>
        <v>2077</v>
      </c>
      <c r="K63" s="8">
        <f t="shared" si="4"/>
        <v>2502</v>
      </c>
      <c r="M63" s="8">
        <f t="shared" si="4"/>
        <v>3245</v>
      </c>
      <c r="O63" s="8">
        <f t="shared" si="4"/>
        <v>0</v>
      </c>
      <c r="Q63" s="8">
        <f t="shared" si="4"/>
        <v>13329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3" x14ac:dyDescent="0.25">
      <c r="A65" t="s">
        <v>40</v>
      </c>
      <c r="C65" s="5">
        <f>41+51+2368</f>
        <v>2460</v>
      </c>
      <c r="E65" s="5">
        <f>103+238+2463</f>
        <v>2804</v>
      </c>
      <c r="G65" s="5">
        <f>20+91+2612</f>
        <v>2723</v>
      </c>
      <c r="I65" s="5">
        <f>7+70+1747</f>
        <v>1824</v>
      </c>
      <c r="K65" s="5">
        <f>10+108+2076</f>
        <v>2194</v>
      </c>
      <c r="M65" s="5">
        <f>20+78+2650</f>
        <v>2748</v>
      </c>
    </row>
    <row r="67" spans="1:13" x14ac:dyDescent="0.25">
      <c r="A67" t="s">
        <v>42</v>
      </c>
    </row>
    <row r="68" spans="1:13" x14ac:dyDescent="0.25">
      <c r="A68" t="s">
        <v>41</v>
      </c>
      <c r="C68" s="10">
        <f>+Q60</f>
        <v>13329</v>
      </c>
      <c r="I68" s="5" t="s">
        <v>43</v>
      </c>
      <c r="K68" s="11">
        <f>+C65+E65+G65+I65+K65+M65+C68</f>
        <v>28082</v>
      </c>
    </row>
  </sheetData>
  <pageMargins left="0.7" right="0.7" top="0.75" bottom="0.75" header="0.3" footer="0.3"/>
  <pageSetup scale="71" orientation="landscape" r:id="rId1"/>
  <rowBreaks count="1" manualBreakCount="1">
    <brk id="37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topLeftCell="A8" zoomScaleNormal="100" workbookViewId="0">
      <selection activeCell="O29" sqref="O29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77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300</v>
      </c>
      <c r="E8" s="5">
        <v>55</v>
      </c>
      <c r="G8" s="5">
        <v>219</v>
      </c>
      <c r="K8" s="5">
        <v>178</v>
      </c>
      <c r="M8" s="5">
        <v>60</v>
      </c>
      <c r="O8" s="5">
        <v>206</v>
      </c>
      <c r="Q8" s="5">
        <v>14</v>
      </c>
      <c r="S8" s="5">
        <v>45</v>
      </c>
      <c r="U8" s="5">
        <v>10</v>
      </c>
      <c r="W8" s="5">
        <v>81</v>
      </c>
      <c r="Y8">
        <v>65</v>
      </c>
    </row>
    <row r="9" spans="1:25" x14ac:dyDescent="0.25">
      <c r="C9" s="5">
        <f>17+1226</f>
        <v>1243</v>
      </c>
      <c r="E9" s="5">
        <v>151</v>
      </c>
      <c r="G9" s="5">
        <v>244</v>
      </c>
      <c r="O9" s="5">
        <v>7</v>
      </c>
      <c r="S9" s="5">
        <v>9</v>
      </c>
      <c r="U9" s="5">
        <v>214</v>
      </c>
      <c r="Y9">
        <v>167</v>
      </c>
    </row>
    <row r="10" spans="1:25" x14ac:dyDescent="0.25">
      <c r="O10" s="5">
        <v>17</v>
      </c>
      <c r="S10" s="5">
        <v>9</v>
      </c>
      <c r="U10" s="5">
        <f>12+8+6+13+13+20+16+21+14</f>
        <v>123</v>
      </c>
      <c r="Y10">
        <v>39</v>
      </c>
    </row>
    <row r="11" spans="1:25" x14ac:dyDescent="0.25">
      <c r="C11" s="6"/>
      <c r="E11" s="6"/>
      <c r="G11" s="6"/>
      <c r="K11" s="6"/>
      <c r="M11" s="6"/>
      <c r="O11" s="6">
        <v>8</v>
      </c>
      <c r="Q11" s="6"/>
      <c r="S11" s="6">
        <f>26+10</f>
        <v>36</v>
      </c>
      <c r="U11" s="6">
        <f>9+15+7+12+12+10+10+6</f>
        <v>81</v>
      </c>
      <c r="W11" s="6"/>
      <c r="Y11">
        <v>34</v>
      </c>
    </row>
    <row r="12" spans="1:25" x14ac:dyDescent="0.25">
      <c r="C12" s="6"/>
      <c r="E12" s="6"/>
      <c r="G12" s="6"/>
      <c r="K12" s="6"/>
      <c r="M12" s="6"/>
      <c r="O12" s="6">
        <v>187</v>
      </c>
      <c r="S12" s="6"/>
      <c r="U12" s="6"/>
      <c r="W12" s="6"/>
    </row>
    <row r="13" spans="1:25" x14ac:dyDescent="0.25">
      <c r="C13" s="6"/>
      <c r="E13" s="6"/>
      <c r="G13" s="6"/>
      <c r="K13" s="6"/>
      <c r="M13" s="6"/>
      <c r="O13" s="6"/>
      <c r="Q13" s="6"/>
      <c r="S13" s="6"/>
      <c r="U13" s="6"/>
      <c r="W13" s="6"/>
    </row>
    <row r="14" spans="1:25" x14ac:dyDescent="0.25">
      <c r="C14" s="6"/>
      <c r="E14" s="6"/>
      <c r="G14" s="6"/>
      <c r="K14" s="6"/>
      <c r="M14" s="6"/>
      <c r="O14" s="6"/>
      <c r="Q14" s="6"/>
      <c r="S14" s="6"/>
      <c r="U14" s="6"/>
    </row>
    <row r="15" spans="1:25" x14ac:dyDescent="0.25">
      <c r="C15" s="6"/>
      <c r="E15" s="6"/>
      <c r="G15" s="6"/>
      <c r="K15" s="6"/>
      <c r="M15" s="6"/>
      <c r="O15" s="6"/>
      <c r="S15" s="6"/>
      <c r="U15" s="6"/>
      <c r="W15" s="6"/>
    </row>
    <row r="16" spans="1:25" x14ac:dyDescent="0.25">
      <c r="C16" s="6"/>
      <c r="E16" s="6"/>
      <c r="G16" s="6"/>
      <c r="K16" s="6"/>
      <c r="M16" s="6"/>
      <c r="O16" s="6"/>
      <c r="Q16" s="6"/>
      <c r="S16" s="6"/>
      <c r="U16" s="6"/>
      <c r="W16" s="6"/>
    </row>
    <row r="17" spans="1:25" s="5" customFormat="1" x14ac:dyDescent="0.25">
      <c r="C17" s="6"/>
      <c r="E17" s="6"/>
      <c r="G17" s="6"/>
      <c r="K17" s="6"/>
      <c r="M17" s="6"/>
      <c r="O17" s="6"/>
      <c r="S17" s="6"/>
      <c r="U17" s="6"/>
      <c r="W17" s="6"/>
    </row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1543</v>
      </c>
      <c r="E19" s="5">
        <f t="shared" ref="E19:W19" si="0">SUM(E8:E18)</f>
        <v>206</v>
      </c>
      <c r="G19" s="5">
        <f t="shared" si="0"/>
        <v>463</v>
      </c>
      <c r="I19" s="5">
        <f t="shared" si="0"/>
        <v>0</v>
      </c>
      <c r="K19" s="5">
        <f t="shared" si="0"/>
        <v>178</v>
      </c>
      <c r="M19" s="5">
        <f t="shared" si="0"/>
        <v>60</v>
      </c>
      <c r="O19" s="5">
        <f t="shared" si="0"/>
        <v>425</v>
      </c>
      <c r="Q19" s="5">
        <f t="shared" si="0"/>
        <v>14</v>
      </c>
      <c r="S19" s="5">
        <f t="shared" si="0"/>
        <v>99</v>
      </c>
      <c r="U19" s="5">
        <f t="shared" si="0"/>
        <v>428</v>
      </c>
      <c r="W19" s="5">
        <f t="shared" si="0"/>
        <v>81</v>
      </c>
      <c r="Y19">
        <f>SUM(Y8:Y18)</f>
        <v>305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1590</v>
      </c>
    </row>
    <row r="24" spans="1:25" x14ac:dyDescent="0.25">
      <c r="K24" s="5" t="s">
        <v>17</v>
      </c>
      <c r="O24" s="9">
        <f>+C19+E19+G19</f>
        <v>2212</v>
      </c>
    </row>
    <row r="25" spans="1:25" x14ac:dyDescent="0.25">
      <c r="K25" s="5" t="s">
        <v>18</v>
      </c>
      <c r="O25" s="5">
        <f>+O23+O24</f>
        <v>3802</v>
      </c>
    </row>
    <row r="26" spans="1:25" x14ac:dyDescent="0.25">
      <c r="K26" s="6" t="s">
        <v>19</v>
      </c>
      <c r="O26" s="5">
        <v>10</v>
      </c>
    </row>
    <row r="27" spans="1:25" x14ac:dyDescent="0.25">
      <c r="K27" s="6" t="s">
        <v>20</v>
      </c>
      <c r="O27" s="9">
        <v>57</v>
      </c>
    </row>
    <row r="28" spans="1:25" x14ac:dyDescent="0.25">
      <c r="K28" s="6" t="s">
        <v>21</v>
      </c>
      <c r="O28" s="5">
        <f>+O25+O26+O27</f>
        <v>3869</v>
      </c>
    </row>
    <row r="30" spans="1:25" x14ac:dyDescent="0.25">
      <c r="K30" s="6" t="s">
        <v>22</v>
      </c>
      <c r="O30" s="5">
        <v>42</v>
      </c>
    </row>
    <row r="31" spans="1:25" x14ac:dyDescent="0.25">
      <c r="K31" s="6" t="s">
        <v>76</v>
      </c>
    </row>
    <row r="32" spans="1:25" x14ac:dyDescent="0.25">
      <c r="K32" s="6" t="s">
        <v>24</v>
      </c>
      <c r="O32" s="5">
        <v>10</v>
      </c>
    </row>
    <row r="33" spans="1:17" x14ac:dyDescent="0.25">
      <c r="K33" s="6" t="s">
        <v>25</v>
      </c>
      <c r="O33" s="9">
        <v>138</v>
      </c>
    </row>
    <row r="34" spans="1:17" x14ac:dyDescent="0.25">
      <c r="O34" s="5" t="s">
        <v>59</v>
      </c>
    </row>
    <row r="35" spans="1:17" x14ac:dyDescent="0.25">
      <c r="K35" s="6" t="s">
        <v>21</v>
      </c>
      <c r="O35" s="5">
        <f>+O28+O30+O31+O32+O33</f>
        <v>4059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500+260+190+120+25+19</f>
        <v>1114</v>
      </c>
      <c r="E43" s="5">
        <f>250+500+380+150+80+25+4</f>
        <v>1389</v>
      </c>
      <c r="G43" s="5">
        <f>1+500+500+80+250+120+75+25+5+280</f>
        <v>1836</v>
      </c>
      <c r="I43" s="5">
        <f>500+500+400+60+95+19</f>
        <v>1574</v>
      </c>
      <c r="K43" s="5">
        <f>500+500+500+300+120+135+25+21+250</f>
        <v>2351</v>
      </c>
      <c r="M43" s="5">
        <f>500+500+220+350+180+170+53</f>
        <v>1973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1114</v>
      </c>
      <c r="E52" s="5">
        <f t="shared" ref="E52:Q52" si="1">SUM(E43:E51)</f>
        <v>1389</v>
      </c>
      <c r="G52" s="5">
        <f t="shared" si="1"/>
        <v>1836</v>
      </c>
      <c r="I52" s="5">
        <f t="shared" si="1"/>
        <v>1574</v>
      </c>
      <c r="K52" s="5">
        <f t="shared" si="1"/>
        <v>2351</v>
      </c>
      <c r="M52" s="5">
        <f t="shared" si="1"/>
        <v>1973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300</v>
      </c>
      <c r="F53" s="5"/>
      <c r="G53" s="7">
        <v>580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814</v>
      </c>
      <c r="E54" s="5">
        <f t="shared" ref="E54:M54" si="2">+E52-E53</f>
        <v>1089</v>
      </c>
      <c r="G54" s="5">
        <f t="shared" si="2"/>
        <v>1256</v>
      </c>
      <c r="I54" s="5">
        <f t="shared" si="2"/>
        <v>1274</v>
      </c>
      <c r="K54" s="5">
        <f t="shared" si="2"/>
        <v>2051</v>
      </c>
      <c r="M54" s="5">
        <f t="shared" si="2"/>
        <v>1673</v>
      </c>
      <c r="Q54" s="5">
        <f>+C54+E54+G54+I54+K54+M54</f>
        <v>8157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814</v>
      </c>
      <c r="E60" s="5">
        <f t="shared" ref="E60:M60" si="3">+E54+E57</f>
        <v>1089</v>
      </c>
      <c r="G60" s="5">
        <f t="shared" si="3"/>
        <v>1256</v>
      </c>
      <c r="I60" s="5">
        <f t="shared" si="3"/>
        <v>1274</v>
      </c>
      <c r="K60" s="5">
        <f t="shared" si="3"/>
        <v>2051</v>
      </c>
      <c r="M60" s="5">
        <f t="shared" si="3"/>
        <v>1673</v>
      </c>
      <c r="Q60" s="5">
        <f>+Q54+Q57</f>
        <v>8157</v>
      </c>
    </row>
    <row r="63" spans="1:36" s="8" customFormat="1" ht="15.75" thickBot="1" x14ac:dyDescent="0.3">
      <c r="A63" s="5" t="s">
        <v>39</v>
      </c>
      <c r="B63" s="5"/>
      <c r="C63" s="8">
        <f>+C60</f>
        <v>814</v>
      </c>
      <c r="E63" s="8">
        <f t="shared" ref="E63:Q63" si="4">+E60</f>
        <v>1089</v>
      </c>
      <c r="G63" s="8">
        <f t="shared" si="4"/>
        <v>1256</v>
      </c>
      <c r="I63" s="8">
        <f t="shared" si="4"/>
        <v>1274</v>
      </c>
      <c r="K63" s="8">
        <f t="shared" si="4"/>
        <v>2051</v>
      </c>
      <c r="M63" s="8">
        <f t="shared" si="4"/>
        <v>1673</v>
      </c>
      <c r="O63" s="8">
        <f t="shared" si="4"/>
        <v>0</v>
      </c>
      <c r="Q63" s="8">
        <f t="shared" si="4"/>
        <v>8157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3" x14ac:dyDescent="0.25">
      <c r="A65" t="s">
        <v>40</v>
      </c>
      <c r="C65" s="5">
        <f>170+1541</f>
        <v>1711</v>
      </c>
      <c r="E65" s="5">
        <f>20+1089</f>
        <v>1109</v>
      </c>
      <c r="G65" s="5">
        <f>20+37+2394</f>
        <v>2451</v>
      </c>
      <c r="I65" s="5">
        <f>77+1320</f>
        <v>1397</v>
      </c>
      <c r="K65" s="5">
        <f>56+150+2121</f>
        <v>2327</v>
      </c>
      <c r="M65" s="5">
        <f>57+1555</f>
        <v>1612</v>
      </c>
    </row>
    <row r="67" spans="1:13" x14ac:dyDescent="0.25">
      <c r="A67" t="s">
        <v>42</v>
      </c>
    </row>
    <row r="68" spans="1:13" x14ac:dyDescent="0.25">
      <c r="A68" t="s">
        <v>41</v>
      </c>
      <c r="C68" s="10">
        <f>+Q60</f>
        <v>8157</v>
      </c>
      <c r="I68" s="5" t="s">
        <v>43</v>
      </c>
      <c r="K68" s="11">
        <f>+C65+E65+G65+I65+K65+M65+C68</f>
        <v>18764</v>
      </c>
    </row>
  </sheetData>
  <pageMargins left="0.7" right="0.7" top="0.75" bottom="0.75" header="0.3" footer="0.3"/>
  <pageSetup scale="72" orientation="landscape" r:id="rId1"/>
  <rowBreaks count="1" manualBreakCount="1">
    <brk id="37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zoomScaleNormal="100" workbookViewId="0">
      <selection activeCell="F26" sqref="F26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78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39</v>
      </c>
      <c r="E8" s="5">
        <v>18</v>
      </c>
      <c r="G8" s="5">
        <v>6</v>
      </c>
      <c r="K8" s="5">
        <v>8</v>
      </c>
      <c r="M8" s="5">
        <v>2</v>
      </c>
      <c r="O8" s="5">
        <v>3</v>
      </c>
      <c r="S8" s="5">
        <v>2</v>
      </c>
      <c r="U8" s="5">
        <v>21</v>
      </c>
      <c r="W8" s="5">
        <v>3</v>
      </c>
      <c r="Y8">
        <v>13</v>
      </c>
    </row>
    <row r="9" spans="1:25" x14ac:dyDescent="0.25">
      <c r="C9" s="5">
        <v>64</v>
      </c>
      <c r="E9" s="5">
        <v>8</v>
      </c>
      <c r="G9" s="5">
        <v>17</v>
      </c>
      <c r="O9" s="5">
        <v>7</v>
      </c>
      <c r="U9" s="5">
        <v>28</v>
      </c>
      <c r="W9" s="5">
        <v>11</v>
      </c>
      <c r="Y9">
        <v>6</v>
      </c>
    </row>
    <row r="10" spans="1:25" x14ac:dyDescent="0.25">
      <c r="C10" s="5">
        <v>168</v>
      </c>
      <c r="E10" s="5">
        <v>14</v>
      </c>
      <c r="G10" s="5">
        <v>26</v>
      </c>
      <c r="K10" s="5">
        <v>10</v>
      </c>
      <c r="M10" s="5">
        <v>3</v>
      </c>
      <c r="O10" s="5">
        <v>10</v>
      </c>
      <c r="S10" s="5">
        <v>5</v>
      </c>
      <c r="U10" s="5">
        <v>28</v>
      </c>
      <c r="W10" s="5">
        <v>19</v>
      </c>
      <c r="Y10">
        <v>6</v>
      </c>
    </row>
    <row r="11" spans="1:25" x14ac:dyDescent="0.25">
      <c r="C11" s="6">
        <v>103</v>
      </c>
      <c r="E11" s="6">
        <v>12</v>
      </c>
      <c r="G11" s="6">
        <v>35</v>
      </c>
      <c r="K11" s="6">
        <v>13</v>
      </c>
      <c r="M11" s="6">
        <v>5</v>
      </c>
      <c r="O11" s="6">
        <v>2</v>
      </c>
      <c r="Q11" s="6"/>
      <c r="S11" s="6"/>
      <c r="U11" s="6">
        <v>47</v>
      </c>
      <c r="W11" s="6"/>
      <c r="Y11">
        <v>7</v>
      </c>
    </row>
    <row r="12" spans="1:25" x14ac:dyDescent="0.25">
      <c r="C12" s="6">
        <v>26</v>
      </c>
      <c r="E12" s="6">
        <v>2</v>
      </c>
      <c r="G12" s="6">
        <v>13</v>
      </c>
      <c r="K12" s="6">
        <v>2</v>
      </c>
      <c r="M12" s="6">
        <v>2</v>
      </c>
      <c r="O12" s="6"/>
      <c r="S12" s="6"/>
      <c r="U12" s="6">
        <v>61</v>
      </c>
      <c r="W12" s="6">
        <v>8</v>
      </c>
      <c r="Y12">
        <v>25</v>
      </c>
    </row>
    <row r="13" spans="1:25" x14ac:dyDescent="0.25">
      <c r="C13" s="6">
        <v>155</v>
      </c>
      <c r="E13" s="6">
        <v>9</v>
      </c>
      <c r="G13" s="6">
        <v>42</v>
      </c>
      <c r="K13" s="6">
        <v>21</v>
      </c>
      <c r="M13" s="6">
        <v>8</v>
      </c>
      <c r="O13" s="6">
        <v>26</v>
      </c>
      <c r="Q13" s="6"/>
      <c r="S13" s="6"/>
      <c r="U13" s="6">
        <f>48+5</f>
        <v>53</v>
      </c>
      <c r="W13" s="6">
        <v>5</v>
      </c>
      <c r="Y13">
        <v>14</v>
      </c>
    </row>
    <row r="14" spans="1:25" x14ac:dyDescent="0.25">
      <c r="C14" s="6"/>
      <c r="E14" s="6"/>
      <c r="G14" s="6"/>
      <c r="K14" s="6"/>
      <c r="M14" s="6"/>
      <c r="O14" s="6"/>
      <c r="Q14" s="6"/>
      <c r="S14" s="6"/>
      <c r="U14" s="6"/>
      <c r="Y14">
        <f>11+2</f>
        <v>13</v>
      </c>
    </row>
    <row r="15" spans="1:25" x14ac:dyDescent="0.25">
      <c r="C15" s="6"/>
      <c r="E15" s="6"/>
      <c r="G15" s="6"/>
      <c r="K15" s="6"/>
      <c r="M15" s="6"/>
      <c r="O15" s="6"/>
      <c r="S15" s="6"/>
      <c r="U15" s="6"/>
      <c r="W15" s="6"/>
    </row>
    <row r="16" spans="1:25" x14ac:dyDescent="0.25">
      <c r="C16" s="6"/>
      <c r="E16" s="6"/>
      <c r="G16" s="6"/>
      <c r="K16" s="6"/>
      <c r="M16" s="6"/>
      <c r="O16" s="6"/>
      <c r="Q16" s="6"/>
      <c r="S16" s="6"/>
      <c r="U16" s="6"/>
      <c r="W16" s="6"/>
    </row>
    <row r="17" spans="1:25" s="5" customFormat="1" x14ac:dyDescent="0.25">
      <c r="C17" s="6"/>
      <c r="E17" s="6"/>
      <c r="G17" s="6"/>
      <c r="K17" s="6"/>
      <c r="M17" s="6"/>
      <c r="O17" s="6"/>
      <c r="S17" s="6"/>
      <c r="U17" s="6"/>
      <c r="W17" s="6"/>
    </row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555</v>
      </c>
      <c r="E19" s="5">
        <f t="shared" ref="E19:W19" si="0">SUM(E8:E18)</f>
        <v>63</v>
      </c>
      <c r="G19" s="5">
        <f t="shared" si="0"/>
        <v>139</v>
      </c>
      <c r="I19" s="5">
        <f t="shared" si="0"/>
        <v>0</v>
      </c>
      <c r="K19" s="5">
        <f t="shared" si="0"/>
        <v>54</v>
      </c>
      <c r="M19" s="5">
        <f t="shared" si="0"/>
        <v>20</v>
      </c>
      <c r="O19" s="5">
        <f t="shared" si="0"/>
        <v>48</v>
      </c>
      <c r="Q19" s="5">
        <f t="shared" si="0"/>
        <v>0</v>
      </c>
      <c r="S19" s="5">
        <f t="shared" si="0"/>
        <v>7</v>
      </c>
      <c r="U19" s="5">
        <f t="shared" si="0"/>
        <v>238</v>
      </c>
      <c r="W19" s="5">
        <f t="shared" si="0"/>
        <v>46</v>
      </c>
      <c r="Y19">
        <f>SUM(Y8:Y18)</f>
        <v>84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497</v>
      </c>
    </row>
    <row r="24" spans="1:25" x14ac:dyDescent="0.25">
      <c r="K24" s="5" t="s">
        <v>17</v>
      </c>
      <c r="O24" s="9">
        <f>+C19+E19+G19</f>
        <v>757</v>
      </c>
    </row>
    <row r="25" spans="1:25" x14ac:dyDescent="0.25">
      <c r="K25" s="5" t="s">
        <v>18</v>
      </c>
      <c r="O25" s="5">
        <f>+O23+O24</f>
        <v>1254</v>
      </c>
    </row>
    <row r="26" spans="1:25" x14ac:dyDescent="0.25">
      <c r="K26" s="6" t="s">
        <v>19</v>
      </c>
      <c r="O26" s="5">
        <v>10</v>
      </c>
    </row>
    <row r="27" spans="1:25" x14ac:dyDescent="0.25">
      <c r="K27" s="6" t="s">
        <v>20</v>
      </c>
      <c r="O27" s="9">
        <v>60</v>
      </c>
    </row>
    <row r="28" spans="1:25" x14ac:dyDescent="0.25">
      <c r="K28" s="6" t="s">
        <v>21</v>
      </c>
      <c r="O28" s="5">
        <f>+O25+O26+O27</f>
        <v>1324</v>
      </c>
    </row>
    <row r="30" spans="1:25" x14ac:dyDescent="0.25">
      <c r="K30" s="6" t="s">
        <v>22</v>
      </c>
      <c r="O30" s="5">
        <v>24</v>
      </c>
    </row>
    <row r="31" spans="1:25" x14ac:dyDescent="0.25">
      <c r="K31" s="6" t="s">
        <v>76</v>
      </c>
      <c r="O31" s="5">
        <v>4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f>2+48+52+7+2+12</f>
        <v>123</v>
      </c>
    </row>
    <row r="34" spans="1:17" x14ac:dyDescent="0.25">
      <c r="O34" s="5" t="s">
        <v>59</v>
      </c>
    </row>
    <row r="35" spans="1:17" x14ac:dyDescent="0.25">
      <c r="K35" s="6" t="s">
        <v>21</v>
      </c>
      <c r="O35" s="5">
        <f>+O28+O30+O31+O32+O33</f>
        <v>1475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460+120+95+50+5</f>
        <v>730</v>
      </c>
      <c r="E43" s="5">
        <f>50+340+120+70+50+20</f>
        <v>650</v>
      </c>
      <c r="G43" s="5">
        <f>280+200+500+200+100+90+50+23</f>
        <v>1443</v>
      </c>
      <c r="I43" s="5">
        <f>360+210+80+50+23</f>
        <v>723</v>
      </c>
      <c r="K43" s="5">
        <f>540+80+60+50+5</f>
        <v>735</v>
      </c>
      <c r="M43" s="5">
        <f>50+280+110+110+75+4</f>
        <v>629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730</v>
      </c>
      <c r="E52" s="5">
        <f t="shared" ref="E52:Q52" si="1">SUM(E43:E51)</f>
        <v>650</v>
      </c>
      <c r="G52" s="5">
        <f t="shared" si="1"/>
        <v>1443</v>
      </c>
      <c r="I52" s="5">
        <f t="shared" si="1"/>
        <v>723</v>
      </c>
      <c r="K52" s="5">
        <f t="shared" si="1"/>
        <v>735</v>
      </c>
      <c r="M52" s="5">
        <f t="shared" si="1"/>
        <v>629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300</v>
      </c>
      <c r="F53" s="5"/>
      <c r="G53" s="7">
        <v>580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430</v>
      </c>
      <c r="E54" s="5">
        <f t="shared" ref="E54:M54" si="2">+E52-E53</f>
        <v>350</v>
      </c>
      <c r="G54" s="5">
        <f t="shared" si="2"/>
        <v>863</v>
      </c>
      <c r="I54" s="5">
        <f t="shared" si="2"/>
        <v>423</v>
      </c>
      <c r="K54" s="5">
        <f t="shared" si="2"/>
        <v>435</v>
      </c>
      <c r="M54" s="5">
        <f t="shared" si="2"/>
        <v>329</v>
      </c>
      <c r="Q54" s="5">
        <f>+C54+E54+G54+I54+K54+M54</f>
        <v>2830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430</v>
      </c>
      <c r="E60" s="5">
        <f t="shared" ref="E60:M60" si="3">+E54+E57</f>
        <v>350</v>
      </c>
      <c r="G60" s="5">
        <f t="shared" si="3"/>
        <v>863</v>
      </c>
      <c r="I60" s="5">
        <f t="shared" si="3"/>
        <v>423</v>
      </c>
      <c r="K60" s="5">
        <f t="shared" si="3"/>
        <v>435</v>
      </c>
      <c r="M60" s="5">
        <f t="shared" si="3"/>
        <v>329</v>
      </c>
      <c r="Q60" s="5">
        <f>+Q54+Q57</f>
        <v>2830</v>
      </c>
    </row>
    <row r="63" spans="1:36" s="8" customFormat="1" ht="15.75" thickBot="1" x14ac:dyDescent="0.3">
      <c r="A63" s="5" t="s">
        <v>39</v>
      </c>
      <c r="B63" s="5"/>
      <c r="C63" s="8">
        <f>+C60</f>
        <v>430</v>
      </c>
      <c r="E63" s="8">
        <f t="shared" ref="E63:Q63" si="4">+E60</f>
        <v>350</v>
      </c>
      <c r="G63" s="8">
        <f t="shared" si="4"/>
        <v>863</v>
      </c>
      <c r="I63" s="8">
        <f t="shared" si="4"/>
        <v>423</v>
      </c>
      <c r="K63" s="8">
        <f t="shared" si="4"/>
        <v>435</v>
      </c>
      <c r="M63" s="8">
        <f t="shared" si="4"/>
        <v>329</v>
      </c>
      <c r="O63" s="8">
        <f t="shared" si="4"/>
        <v>0</v>
      </c>
      <c r="Q63" s="8">
        <f t="shared" si="4"/>
        <v>2830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3" x14ac:dyDescent="0.25">
      <c r="A65" t="s">
        <v>40</v>
      </c>
      <c r="C65" s="5">
        <f>35+497</f>
        <v>532</v>
      </c>
      <c r="E65" s="5">
        <f>10+406</f>
        <v>416</v>
      </c>
      <c r="G65" s="5">
        <f>21+604</f>
        <v>625</v>
      </c>
      <c r="I65" s="5">
        <v>259</v>
      </c>
      <c r="K65" s="5">
        <f>41+369</f>
        <v>410</v>
      </c>
      <c r="M65" s="5">
        <f>20+366</f>
        <v>386</v>
      </c>
    </row>
    <row r="67" spans="1:13" x14ac:dyDescent="0.25">
      <c r="A67" t="s">
        <v>42</v>
      </c>
    </row>
    <row r="68" spans="1:13" x14ac:dyDescent="0.25">
      <c r="A68" t="s">
        <v>41</v>
      </c>
      <c r="C68" s="10">
        <f>+Q60</f>
        <v>2830</v>
      </c>
      <c r="I68" s="5" t="s">
        <v>43</v>
      </c>
      <c r="K68" s="11">
        <f>+C65+E65+G65+I65+K65+M65+C68</f>
        <v>5458</v>
      </c>
    </row>
  </sheetData>
  <pageMargins left="0.7" right="0.7" top="0.75" bottom="0.75" header="0.3" footer="0.3"/>
  <pageSetup scale="72" orientation="landscape" r:id="rId1"/>
  <rowBreaks count="1" manualBreakCount="1">
    <brk id="37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topLeftCell="A49" zoomScaleNormal="100" workbookViewId="0">
      <selection activeCell="O28" sqref="O28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79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689</v>
      </c>
      <c r="E8" s="5">
        <v>129</v>
      </c>
      <c r="G8" s="5">
        <v>211</v>
      </c>
      <c r="K8" s="5">
        <v>56</v>
      </c>
      <c r="M8" s="5">
        <v>15</v>
      </c>
      <c r="O8" s="5">
        <v>97</v>
      </c>
      <c r="Q8" s="5">
        <v>3</v>
      </c>
      <c r="S8" s="5">
        <v>24</v>
      </c>
      <c r="U8" s="5">
        <f>198+17</f>
        <v>215</v>
      </c>
      <c r="W8" s="5">
        <v>23</v>
      </c>
      <c r="Y8">
        <v>4</v>
      </c>
    </row>
    <row r="9" spans="1:25" x14ac:dyDescent="0.25">
      <c r="U9" s="5">
        <v>4</v>
      </c>
      <c r="Y9">
        <f>41+9+13</f>
        <v>63</v>
      </c>
    </row>
    <row r="11" spans="1:25" x14ac:dyDescent="0.25">
      <c r="C11" s="6"/>
      <c r="E11" s="6"/>
      <c r="G11" s="6"/>
      <c r="K11" s="6"/>
      <c r="M11" s="6"/>
      <c r="O11" s="6"/>
      <c r="Q11" s="6"/>
      <c r="S11" s="6"/>
      <c r="U11" s="6"/>
      <c r="W11" s="6"/>
    </row>
    <row r="12" spans="1:25" x14ac:dyDescent="0.25">
      <c r="C12" s="6"/>
      <c r="E12" s="6"/>
      <c r="G12" s="6"/>
      <c r="K12" s="6"/>
      <c r="M12" s="6"/>
      <c r="O12" s="6"/>
      <c r="S12" s="6"/>
      <c r="U12" s="6"/>
      <c r="W12" s="6"/>
    </row>
    <row r="13" spans="1:25" x14ac:dyDescent="0.25">
      <c r="C13" s="6"/>
      <c r="E13" s="6"/>
      <c r="G13" s="6"/>
      <c r="K13" s="6"/>
      <c r="M13" s="6"/>
      <c r="O13" s="6"/>
      <c r="Q13" s="6"/>
      <c r="S13" s="6"/>
      <c r="U13" s="6"/>
      <c r="W13" s="6"/>
    </row>
    <row r="14" spans="1:25" x14ac:dyDescent="0.25">
      <c r="C14" s="6"/>
      <c r="E14" s="6"/>
      <c r="G14" s="6"/>
      <c r="K14" s="6"/>
      <c r="M14" s="6"/>
      <c r="O14" s="6"/>
      <c r="Q14" s="6"/>
      <c r="S14" s="6"/>
      <c r="U14" s="6"/>
    </row>
    <row r="15" spans="1:25" x14ac:dyDescent="0.25">
      <c r="C15" s="6"/>
      <c r="E15" s="6"/>
      <c r="G15" s="6"/>
      <c r="K15" s="6"/>
      <c r="M15" s="6"/>
      <c r="O15" s="6"/>
      <c r="S15" s="6"/>
      <c r="U15" s="6"/>
      <c r="W15" s="6"/>
    </row>
    <row r="16" spans="1:25" x14ac:dyDescent="0.25">
      <c r="C16" s="6"/>
      <c r="E16" s="6"/>
      <c r="G16" s="6"/>
      <c r="K16" s="6"/>
      <c r="M16" s="6"/>
      <c r="O16" s="6"/>
      <c r="Q16" s="6"/>
      <c r="S16" s="6"/>
      <c r="U16" s="6"/>
      <c r="W16" s="6"/>
    </row>
    <row r="17" spans="1:25" s="5" customFormat="1" x14ac:dyDescent="0.25">
      <c r="C17" s="6"/>
      <c r="E17" s="6"/>
      <c r="G17" s="6"/>
      <c r="K17" s="6"/>
      <c r="M17" s="6"/>
      <c r="O17" s="6"/>
      <c r="S17" s="6"/>
      <c r="U17" s="6"/>
      <c r="W17" s="6"/>
    </row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689</v>
      </c>
      <c r="E19" s="5">
        <f t="shared" ref="E19:W19" si="0">SUM(E8:E18)</f>
        <v>129</v>
      </c>
      <c r="G19" s="5">
        <f t="shared" si="0"/>
        <v>211</v>
      </c>
      <c r="I19" s="5">
        <f t="shared" si="0"/>
        <v>0</v>
      </c>
      <c r="K19" s="5">
        <f t="shared" si="0"/>
        <v>56</v>
      </c>
      <c r="M19" s="5">
        <f t="shared" si="0"/>
        <v>15</v>
      </c>
      <c r="O19" s="5">
        <f t="shared" si="0"/>
        <v>97</v>
      </c>
      <c r="Q19" s="5">
        <f t="shared" si="0"/>
        <v>3</v>
      </c>
      <c r="S19" s="5">
        <f t="shared" si="0"/>
        <v>24</v>
      </c>
      <c r="U19" s="5">
        <f t="shared" si="0"/>
        <v>219</v>
      </c>
      <c r="W19" s="5">
        <f t="shared" si="0"/>
        <v>23</v>
      </c>
      <c r="Y19">
        <f>SUM(Y8:Y18)</f>
        <v>67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504</v>
      </c>
    </row>
    <row r="24" spans="1:25" x14ac:dyDescent="0.25">
      <c r="K24" s="5" t="s">
        <v>17</v>
      </c>
      <c r="O24" s="9">
        <f>+C19+E19+G19</f>
        <v>1029</v>
      </c>
    </row>
    <row r="25" spans="1:25" x14ac:dyDescent="0.25">
      <c r="K25" s="5" t="s">
        <v>18</v>
      </c>
      <c r="O25" s="5">
        <f>+O23+O24</f>
        <v>1533</v>
      </c>
    </row>
    <row r="26" spans="1:25" x14ac:dyDescent="0.25">
      <c r="K26" s="6" t="s">
        <v>19</v>
      </c>
      <c r="O26" s="5">
        <v>10</v>
      </c>
    </row>
    <row r="27" spans="1:25" x14ac:dyDescent="0.25">
      <c r="K27" s="6" t="s">
        <v>20</v>
      </c>
      <c r="O27" s="9">
        <v>58</v>
      </c>
    </row>
    <row r="28" spans="1:25" x14ac:dyDescent="0.25">
      <c r="K28" s="6" t="s">
        <v>21</v>
      </c>
      <c r="O28" s="5">
        <f>+O25+O26+O27</f>
        <v>1601</v>
      </c>
    </row>
    <row r="30" spans="1:25" x14ac:dyDescent="0.25">
      <c r="K30" s="6" t="s">
        <v>22</v>
      </c>
      <c r="O30" s="5">
        <f>73+33</f>
        <v>106</v>
      </c>
    </row>
    <row r="31" spans="1:25" x14ac:dyDescent="0.25">
      <c r="K31" s="6" t="s">
        <v>76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v>205</v>
      </c>
    </row>
    <row r="34" spans="1:17" x14ac:dyDescent="0.25">
      <c r="O34" s="5" t="s">
        <v>59</v>
      </c>
    </row>
    <row r="35" spans="1:17" x14ac:dyDescent="0.25">
      <c r="K35" s="6" t="s">
        <v>21</v>
      </c>
      <c r="O35" s="5">
        <f>+O28+O30+O31+O32+O33</f>
        <v>1912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400+360+500+120+65+25+22</f>
        <v>1492</v>
      </c>
      <c r="E43" s="5">
        <f>200+180+500+190+85+25+25</f>
        <v>1205</v>
      </c>
      <c r="G43" s="5">
        <f>280+360+180+110+50+16</f>
        <v>996</v>
      </c>
      <c r="I43" s="5">
        <v>300</v>
      </c>
      <c r="K43" s="5">
        <f>100+560+110+75+50+25+6</f>
        <v>926</v>
      </c>
      <c r="M43" s="5">
        <f>1+200+180+500+90+90+25+100+22</f>
        <v>1208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1492</v>
      </c>
      <c r="E52" s="5">
        <f t="shared" ref="E52:Q52" si="1">SUM(E43:E51)</f>
        <v>1205</v>
      </c>
      <c r="G52" s="5">
        <f t="shared" si="1"/>
        <v>996</v>
      </c>
      <c r="I52" s="5">
        <f t="shared" si="1"/>
        <v>300</v>
      </c>
      <c r="K52" s="5">
        <f t="shared" si="1"/>
        <v>926</v>
      </c>
      <c r="M52" s="5">
        <f t="shared" si="1"/>
        <v>1208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300</v>
      </c>
      <c r="F53" s="5"/>
      <c r="G53" s="7">
        <v>580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1192</v>
      </c>
      <c r="E54" s="5">
        <f t="shared" ref="E54:M54" si="2">+E52-E53</f>
        <v>905</v>
      </c>
      <c r="G54" s="5">
        <f t="shared" si="2"/>
        <v>416</v>
      </c>
      <c r="I54" s="5">
        <f t="shared" si="2"/>
        <v>0</v>
      </c>
      <c r="K54" s="5">
        <f t="shared" si="2"/>
        <v>626</v>
      </c>
      <c r="M54" s="5">
        <f t="shared" si="2"/>
        <v>908</v>
      </c>
      <c r="Q54" s="5">
        <f>+C54+E54+G54+I54+K54+M54</f>
        <v>4047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1192</v>
      </c>
      <c r="E60" s="5">
        <f t="shared" ref="E60:M60" si="3">+E54+E57</f>
        <v>905</v>
      </c>
      <c r="G60" s="5">
        <f t="shared" si="3"/>
        <v>416</v>
      </c>
      <c r="I60" s="5">
        <f t="shared" si="3"/>
        <v>0</v>
      </c>
      <c r="K60" s="5">
        <f t="shared" si="3"/>
        <v>626</v>
      </c>
      <c r="M60" s="5">
        <f t="shared" si="3"/>
        <v>908</v>
      </c>
      <c r="Q60" s="5">
        <f>+Q54+Q57</f>
        <v>4047</v>
      </c>
    </row>
    <row r="63" spans="1:36" s="8" customFormat="1" ht="15.75" thickBot="1" x14ac:dyDescent="0.3">
      <c r="A63" s="5" t="s">
        <v>39</v>
      </c>
      <c r="B63" s="5"/>
      <c r="C63" s="8">
        <f>+C60</f>
        <v>1192</v>
      </c>
      <c r="E63" s="8">
        <f t="shared" ref="E63:Q63" si="4">+E60</f>
        <v>905</v>
      </c>
      <c r="G63" s="8">
        <f t="shared" si="4"/>
        <v>416</v>
      </c>
      <c r="I63" s="8">
        <f t="shared" si="4"/>
        <v>0</v>
      </c>
      <c r="K63" s="8">
        <f t="shared" si="4"/>
        <v>626</v>
      </c>
      <c r="M63" s="8">
        <f t="shared" si="4"/>
        <v>908</v>
      </c>
      <c r="O63" s="8">
        <f t="shared" si="4"/>
        <v>0</v>
      </c>
      <c r="Q63" s="8">
        <f t="shared" si="4"/>
        <v>4047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3" x14ac:dyDescent="0.25">
      <c r="A65" t="s">
        <v>40</v>
      </c>
      <c r="C65" s="5">
        <f>14+110+904</f>
        <v>1028</v>
      </c>
      <c r="E65" s="5">
        <f>20+1015</f>
        <v>1035</v>
      </c>
      <c r="G65" s="5">
        <f>74+755</f>
        <v>829</v>
      </c>
      <c r="K65" s="5">
        <f>40+20+771</f>
        <v>831</v>
      </c>
      <c r="M65" s="5">
        <f>55+801</f>
        <v>856</v>
      </c>
    </row>
    <row r="67" spans="1:13" x14ac:dyDescent="0.25">
      <c r="A67" t="s">
        <v>42</v>
      </c>
    </row>
    <row r="68" spans="1:13" x14ac:dyDescent="0.25">
      <c r="A68" t="s">
        <v>41</v>
      </c>
      <c r="C68" s="10">
        <f>+Q60</f>
        <v>4047</v>
      </c>
      <c r="I68" s="5" t="s">
        <v>43</v>
      </c>
      <c r="K68" s="11">
        <f>+C65+E65+G65+I65+K65+M65+C68</f>
        <v>8626</v>
      </c>
    </row>
  </sheetData>
  <pageMargins left="0.7" right="0.7" top="0.75" bottom="0.75" header="0.3" footer="0.3"/>
  <pageSetup scale="72" orientation="landscape" r:id="rId1"/>
  <rowBreaks count="1" manualBreakCount="1">
    <brk id="37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topLeftCell="A31" zoomScaleNormal="100" workbookViewId="0">
      <selection activeCell="C44" sqref="C44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80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176</v>
      </c>
      <c r="E8" s="5">
        <v>27</v>
      </c>
      <c r="G8" s="5">
        <v>62</v>
      </c>
      <c r="K8" s="5">
        <v>30</v>
      </c>
      <c r="M8" s="5">
        <v>2</v>
      </c>
      <c r="O8" s="5">
        <v>1</v>
      </c>
      <c r="Q8" s="5">
        <v>5</v>
      </c>
      <c r="S8" s="5">
        <v>2</v>
      </c>
      <c r="U8" s="5">
        <v>69</v>
      </c>
      <c r="W8" s="5">
        <v>11</v>
      </c>
      <c r="Y8">
        <v>50</v>
      </c>
    </row>
    <row r="9" spans="1:25" x14ac:dyDescent="0.25">
      <c r="C9" s="5">
        <v>23</v>
      </c>
      <c r="E9" s="5">
        <v>6</v>
      </c>
      <c r="G9" s="5">
        <v>4</v>
      </c>
      <c r="K9" s="5">
        <v>6</v>
      </c>
      <c r="M9" s="5">
        <v>1</v>
      </c>
      <c r="O9" s="5">
        <v>30</v>
      </c>
      <c r="S9" s="5">
        <v>12</v>
      </c>
      <c r="U9" s="5">
        <v>21</v>
      </c>
      <c r="W9" s="5">
        <v>2</v>
      </c>
      <c r="Y9">
        <v>11</v>
      </c>
    </row>
    <row r="10" spans="1:25" x14ac:dyDescent="0.25">
      <c r="C10" s="5">
        <v>33</v>
      </c>
      <c r="E10" s="5">
        <v>10</v>
      </c>
      <c r="G10" s="5">
        <v>8</v>
      </c>
      <c r="K10" s="5">
        <v>1</v>
      </c>
      <c r="M10" s="5">
        <v>1</v>
      </c>
      <c r="O10" s="5">
        <v>32</v>
      </c>
      <c r="U10" s="5">
        <v>50</v>
      </c>
      <c r="W10" s="5">
        <v>9</v>
      </c>
      <c r="Y10">
        <v>25</v>
      </c>
    </row>
    <row r="11" spans="1:25" x14ac:dyDescent="0.25">
      <c r="C11" s="6">
        <v>202</v>
      </c>
      <c r="E11" s="6">
        <v>28</v>
      </c>
      <c r="G11" s="6">
        <v>30</v>
      </c>
      <c r="K11" s="6">
        <v>25</v>
      </c>
      <c r="M11" s="6">
        <v>7</v>
      </c>
      <c r="O11" s="6">
        <v>2</v>
      </c>
      <c r="Q11" s="6"/>
      <c r="S11" s="6"/>
      <c r="U11" s="6">
        <v>122</v>
      </c>
      <c r="W11" s="6">
        <v>11</v>
      </c>
      <c r="Y11">
        <v>8</v>
      </c>
    </row>
    <row r="12" spans="1:25" x14ac:dyDescent="0.25">
      <c r="C12" s="6">
        <v>85</v>
      </c>
      <c r="E12" s="6">
        <v>36</v>
      </c>
      <c r="G12" s="6">
        <v>72</v>
      </c>
      <c r="K12" s="6">
        <v>71</v>
      </c>
      <c r="M12" s="6">
        <v>17</v>
      </c>
      <c r="O12" s="6">
        <v>118</v>
      </c>
      <c r="S12" s="6"/>
      <c r="U12" s="6"/>
      <c r="W12" s="6"/>
      <c r="Y12">
        <v>20</v>
      </c>
    </row>
    <row r="13" spans="1:25" x14ac:dyDescent="0.25">
      <c r="C13" s="6">
        <v>47</v>
      </c>
      <c r="E13" s="6"/>
      <c r="G13" s="6"/>
      <c r="K13" s="6"/>
      <c r="M13" s="6"/>
      <c r="O13" s="6"/>
      <c r="Q13" s="6"/>
      <c r="S13" s="6"/>
      <c r="U13" s="6"/>
      <c r="W13" s="6"/>
      <c r="Y13">
        <v>21</v>
      </c>
    </row>
    <row r="14" spans="1:25" x14ac:dyDescent="0.25">
      <c r="C14" s="6">
        <v>113</v>
      </c>
      <c r="E14" s="6"/>
      <c r="G14" s="6"/>
      <c r="K14" s="6"/>
      <c r="M14" s="6"/>
      <c r="O14" s="6"/>
      <c r="Q14" s="6"/>
      <c r="S14" s="6"/>
      <c r="U14" s="6"/>
      <c r="Y14">
        <v>15</v>
      </c>
    </row>
    <row r="15" spans="1:25" x14ac:dyDescent="0.25">
      <c r="C15" s="6">
        <v>139</v>
      </c>
      <c r="E15" s="6"/>
      <c r="G15" s="6"/>
      <c r="K15" s="6"/>
      <c r="M15" s="6"/>
      <c r="O15" s="6"/>
      <c r="S15" s="6"/>
      <c r="U15" s="6"/>
      <c r="W15" s="6"/>
    </row>
    <row r="16" spans="1:25" x14ac:dyDescent="0.25">
      <c r="C16" s="6"/>
      <c r="E16" s="6"/>
      <c r="G16" s="6"/>
      <c r="K16" s="6"/>
      <c r="M16" s="6"/>
      <c r="O16" s="6"/>
      <c r="Q16" s="6"/>
      <c r="S16" s="6"/>
      <c r="U16" s="6"/>
      <c r="W16" s="6"/>
    </row>
    <row r="17" spans="1:25" s="5" customFormat="1" x14ac:dyDescent="0.25">
      <c r="C17" s="6"/>
      <c r="E17" s="6"/>
      <c r="G17" s="6"/>
      <c r="K17" s="6"/>
      <c r="M17" s="6"/>
      <c r="O17" s="6"/>
      <c r="S17" s="6"/>
      <c r="U17" s="6"/>
      <c r="W17" s="6"/>
    </row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818</v>
      </c>
      <c r="E19" s="5">
        <f t="shared" ref="E19:W19" si="0">SUM(E8:E18)</f>
        <v>107</v>
      </c>
      <c r="G19" s="5">
        <f t="shared" si="0"/>
        <v>176</v>
      </c>
      <c r="I19" s="5">
        <f t="shared" si="0"/>
        <v>0</v>
      </c>
      <c r="K19" s="5">
        <f t="shared" si="0"/>
        <v>133</v>
      </c>
      <c r="M19" s="5">
        <f t="shared" si="0"/>
        <v>28</v>
      </c>
      <c r="O19" s="5">
        <f t="shared" si="0"/>
        <v>183</v>
      </c>
      <c r="Q19" s="5">
        <f t="shared" si="0"/>
        <v>5</v>
      </c>
      <c r="S19" s="5">
        <f t="shared" si="0"/>
        <v>14</v>
      </c>
      <c r="U19" s="5">
        <f t="shared" si="0"/>
        <v>262</v>
      </c>
      <c r="W19" s="5">
        <f t="shared" si="0"/>
        <v>33</v>
      </c>
      <c r="Y19">
        <f>SUM(Y8:Y18)</f>
        <v>150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808</v>
      </c>
    </row>
    <row r="24" spans="1:25" x14ac:dyDescent="0.25">
      <c r="K24" s="5" t="s">
        <v>17</v>
      </c>
      <c r="O24" s="9">
        <f>+C19+E19+G19</f>
        <v>1101</v>
      </c>
    </row>
    <row r="25" spans="1:25" x14ac:dyDescent="0.25">
      <c r="K25" s="5" t="s">
        <v>18</v>
      </c>
      <c r="O25" s="5">
        <f>+O23+O24</f>
        <v>1909</v>
      </c>
    </row>
    <row r="26" spans="1:25" x14ac:dyDescent="0.25">
      <c r="K26" s="6" t="s">
        <v>19</v>
      </c>
      <c r="O26" s="5">
        <v>10</v>
      </c>
    </row>
    <row r="27" spans="1:25" x14ac:dyDescent="0.25">
      <c r="K27" s="6" t="s">
        <v>20</v>
      </c>
      <c r="O27" s="9">
        <v>40</v>
      </c>
    </row>
    <row r="28" spans="1:25" x14ac:dyDescent="0.25">
      <c r="K28" s="6" t="s">
        <v>21</v>
      </c>
      <c r="O28" s="5">
        <f>+O25+O26+O27</f>
        <v>1959</v>
      </c>
    </row>
    <row r="30" spans="1:25" x14ac:dyDescent="0.25">
      <c r="K30" s="6" t="s">
        <v>22</v>
      </c>
      <c r="O30" s="5">
        <v>18</v>
      </c>
    </row>
    <row r="31" spans="1:25" x14ac:dyDescent="0.25">
      <c r="K31" s="6" t="s">
        <v>76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v>70</v>
      </c>
    </row>
    <row r="34" spans="1:17" x14ac:dyDescent="0.25">
      <c r="O34" s="5" t="s">
        <v>59</v>
      </c>
    </row>
    <row r="35" spans="1:17" x14ac:dyDescent="0.25">
      <c r="K35" s="6" t="s">
        <v>21</v>
      </c>
      <c r="O35" s="5">
        <f>+O28+O30+O31+O32+O33</f>
        <v>2047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v>1451</v>
      </c>
      <c r="E43" s="5">
        <f>140+300+500+160+150+110+50+2</f>
        <v>1412</v>
      </c>
      <c r="G43" s="5">
        <f>250+160+500+80+110+50+19</f>
        <v>1169</v>
      </c>
      <c r="I43" s="5">
        <f>50+42+105+110+280+150</f>
        <v>737</v>
      </c>
      <c r="K43" s="5">
        <f>450+220+500+80+110+50+14</f>
        <v>1424</v>
      </c>
      <c r="M43" s="5">
        <f>17+50+125+110+220+500+200</f>
        <v>1222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1451</v>
      </c>
      <c r="E52" s="5">
        <f t="shared" ref="E52:Q52" si="1">SUM(E43:E51)</f>
        <v>1412</v>
      </c>
      <c r="G52" s="5">
        <f t="shared" si="1"/>
        <v>1169</v>
      </c>
      <c r="I52" s="5">
        <f t="shared" si="1"/>
        <v>737</v>
      </c>
      <c r="K52" s="5">
        <f t="shared" si="1"/>
        <v>1424</v>
      </c>
      <c r="M52" s="5">
        <f t="shared" si="1"/>
        <v>1222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440</v>
      </c>
      <c r="D53" s="5"/>
      <c r="E53" s="7">
        <v>440</v>
      </c>
      <c r="F53" s="5"/>
      <c r="G53" s="7">
        <v>300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1011</v>
      </c>
      <c r="E54" s="5">
        <f t="shared" ref="E54:M54" si="2">+E52-E53</f>
        <v>972</v>
      </c>
      <c r="G54" s="5">
        <f t="shared" si="2"/>
        <v>869</v>
      </c>
      <c r="I54" s="5">
        <f t="shared" si="2"/>
        <v>437</v>
      </c>
      <c r="K54" s="5">
        <f t="shared" si="2"/>
        <v>1124</v>
      </c>
      <c r="M54" s="5">
        <f t="shared" si="2"/>
        <v>922</v>
      </c>
      <c r="Q54" s="5">
        <f>+C54+E54+G54+I54+K54+M54</f>
        <v>5335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1011</v>
      </c>
      <c r="E60" s="5">
        <f t="shared" ref="E60:M60" si="3">+E54+E57</f>
        <v>972</v>
      </c>
      <c r="G60" s="5">
        <f t="shared" si="3"/>
        <v>869</v>
      </c>
      <c r="I60" s="5">
        <f t="shared" si="3"/>
        <v>437</v>
      </c>
      <c r="K60" s="5">
        <f t="shared" si="3"/>
        <v>1124</v>
      </c>
      <c r="M60" s="5">
        <f t="shared" si="3"/>
        <v>922</v>
      </c>
      <c r="Q60" s="5">
        <f>+Q54+Q57</f>
        <v>5335</v>
      </c>
    </row>
    <row r="63" spans="1:36" s="8" customFormat="1" ht="15.75" thickBot="1" x14ac:dyDescent="0.3">
      <c r="A63" s="5" t="s">
        <v>39</v>
      </c>
      <c r="B63" s="5"/>
      <c r="C63" s="8">
        <f>+C60</f>
        <v>1011</v>
      </c>
      <c r="E63" s="8">
        <f t="shared" ref="E63:Q63" si="4">+E60</f>
        <v>972</v>
      </c>
      <c r="G63" s="8">
        <f t="shared" si="4"/>
        <v>869</v>
      </c>
      <c r="I63" s="8">
        <f t="shared" si="4"/>
        <v>437</v>
      </c>
      <c r="K63" s="8">
        <f t="shared" si="4"/>
        <v>1124</v>
      </c>
      <c r="M63" s="8">
        <f t="shared" si="4"/>
        <v>922</v>
      </c>
      <c r="O63" s="8">
        <f t="shared" si="4"/>
        <v>0</v>
      </c>
      <c r="Q63" s="8">
        <f t="shared" si="4"/>
        <v>5335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3" x14ac:dyDescent="0.25">
      <c r="A65" t="s">
        <v>40</v>
      </c>
      <c r="C65" s="5">
        <f>56+719</f>
        <v>775</v>
      </c>
      <c r="E65" s="5">
        <f>20+34+830</f>
        <v>884</v>
      </c>
      <c r="G65" s="5">
        <f>44+718</f>
        <v>762</v>
      </c>
      <c r="I65" s="5">
        <f>82+381</f>
        <v>463</v>
      </c>
      <c r="K65" s="5">
        <v>852</v>
      </c>
      <c r="M65" s="5">
        <f>20+41+659</f>
        <v>720</v>
      </c>
    </row>
    <row r="67" spans="1:13" x14ac:dyDescent="0.25">
      <c r="A67" t="s">
        <v>42</v>
      </c>
    </row>
    <row r="68" spans="1:13" x14ac:dyDescent="0.25">
      <c r="A68" t="s">
        <v>41</v>
      </c>
      <c r="C68" s="10">
        <f>+Q60</f>
        <v>5335</v>
      </c>
      <c r="I68" s="5" t="s">
        <v>43</v>
      </c>
      <c r="K68" s="11">
        <f>+C65+E65+G65+I65+K65+M65+C68</f>
        <v>9791</v>
      </c>
    </row>
  </sheetData>
  <pageMargins left="0.7" right="0.7" top="0.75" bottom="0.75" header="0.3" footer="0.3"/>
  <pageSetup scale="72" orientation="landscape" r:id="rId1"/>
  <rowBreaks count="1" manualBreakCount="1">
    <brk id="37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zoomScaleNormal="100" workbookViewId="0">
      <selection activeCell="O28" sqref="O28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81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174</v>
      </c>
      <c r="E8" s="5">
        <v>55</v>
      </c>
      <c r="G8" s="5">
        <v>118</v>
      </c>
      <c r="K8" s="5">
        <v>67</v>
      </c>
      <c r="M8" s="5">
        <v>18</v>
      </c>
      <c r="O8" s="5">
        <v>218</v>
      </c>
      <c r="Q8" s="5">
        <v>12</v>
      </c>
      <c r="S8" s="5">
        <v>15</v>
      </c>
      <c r="U8" s="5">
        <v>175</v>
      </c>
      <c r="W8" s="5">
        <v>20</v>
      </c>
      <c r="Y8">
        <v>73</v>
      </c>
    </row>
    <row r="9" spans="1:25" x14ac:dyDescent="0.25">
      <c r="C9" s="5">
        <v>131</v>
      </c>
      <c r="E9" s="5">
        <v>36</v>
      </c>
      <c r="G9" s="5">
        <v>48</v>
      </c>
      <c r="S9" s="5">
        <v>56</v>
      </c>
      <c r="Y9">
        <v>96</v>
      </c>
    </row>
    <row r="10" spans="1:25" x14ac:dyDescent="0.25">
      <c r="C10" s="5">
        <v>142</v>
      </c>
      <c r="Y10">
        <v>10</v>
      </c>
    </row>
    <row r="11" spans="1:25" x14ac:dyDescent="0.25">
      <c r="C11" s="6">
        <v>166</v>
      </c>
      <c r="E11" s="6"/>
      <c r="G11" s="6"/>
      <c r="K11" s="6"/>
      <c r="M11" s="6"/>
      <c r="O11" s="6"/>
      <c r="Q11" s="6"/>
      <c r="S11" s="6"/>
      <c r="U11" s="6"/>
      <c r="W11" s="6"/>
    </row>
    <row r="12" spans="1:25" x14ac:dyDescent="0.25">
      <c r="C12" s="6"/>
      <c r="E12" s="6"/>
      <c r="G12" s="6"/>
      <c r="K12" s="6"/>
      <c r="M12" s="6"/>
      <c r="O12" s="6"/>
      <c r="S12" s="6"/>
      <c r="U12" s="6"/>
      <c r="W12" s="6"/>
    </row>
    <row r="13" spans="1:25" x14ac:dyDescent="0.25">
      <c r="C13" s="6"/>
      <c r="E13" s="6"/>
      <c r="G13" s="6"/>
      <c r="K13" s="6"/>
      <c r="M13" s="6"/>
      <c r="O13" s="6"/>
      <c r="Q13" s="6"/>
      <c r="S13" s="6"/>
      <c r="U13" s="6"/>
      <c r="W13" s="6"/>
    </row>
    <row r="14" spans="1:25" x14ac:dyDescent="0.25">
      <c r="C14" s="6"/>
      <c r="E14" s="6"/>
      <c r="G14" s="6"/>
      <c r="K14" s="6"/>
      <c r="M14" s="6"/>
      <c r="O14" s="6"/>
      <c r="Q14" s="6"/>
      <c r="S14" s="6"/>
      <c r="U14" s="6"/>
    </row>
    <row r="15" spans="1:25" x14ac:dyDescent="0.25">
      <c r="C15" s="6"/>
      <c r="E15" s="6"/>
      <c r="G15" s="6"/>
      <c r="K15" s="6"/>
      <c r="M15" s="6"/>
      <c r="O15" s="6"/>
      <c r="S15" s="6"/>
      <c r="U15" s="6"/>
      <c r="W15" s="6"/>
    </row>
    <row r="16" spans="1:25" x14ac:dyDescent="0.25">
      <c r="C16" s="6"/>
      <c r="E16" s="6"/>
      <c r="G16" s="6"/>
      <c r="K16" s="6"/>
      <c r="M16" s="6"/>
      <c r="O16" s="6"/>
      <c r="Q16" s="6"/>
      <c r="S16" s="6"/>
      <c r="U16" s="6"/>
      <c r="W16" s="6"/>
    </row>
    <row r="17" spans="1:25" s="5" customFormat="1" x14ac:dyDescent="0.25">
      <c r="C17" s="6"/>
      <c r="E17" s="6"/>
      <c r="G17" s="6"/>
      <c r="K17" s="6"/>
      <c r="M17" s="6"/>
      <c r="O17" s="6"/>
      <c r="S17" s="6"/>
      <c r="U17" s="6"/>
      <c r="W17" s="6"/>
    </row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613</v>
      </c>
      <c r="E19" s="5">
        <f t="shared" ref="E19:W19" si="0">SUM(E8:E18)</f>
        <v>91</v>
      </c>
      <c r="G19" s="5">
        <f t="shared" si="0"/>
        <v>166</v>
      </c>
      <c r="I19" s="5">
        <f t="shared" si="0"/>
        <v>0</v>
      </c>
      <c r="K19" s="5">
        <f t="shared" si="0"/>
        <v>67</v>
      </c>
      <c r="M19" s="5">
        <f t="shared" si="0"/>
        <v>18</v>
      </c>
      <c r="O19" s="5">
        <f t="shared" si="0"/>
        <v>218</v>
      </c>
      <c r="Q19" s="5">
        <f t="shared" si="0"/>
        <v>12</v>
      </c>
      <c r="S19" s="5">
        <f t="shared" si="0"/>
        <v>71</v>
      </c>
      <c r="U19" s="5">
        <f t="shared" si="0"/>
        <v>175</v>
      </c>
      <c r="W19" s="5">
        <f t="shared" si="0"/>
        <v>20</v>
      </c>
      <c r="Y19">
        <f>SUM(Y8:Y18)</f>
        <v>179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760</v>
      </c>
    </row>
    <row r="24" spans="1:25" x14ac:dyDescent="0.25">
      <c r="K24" s="5" t="s">
        <v>17</v>
      </c>
      <c r="O24" s="9">
        <f>+C19+E19+G19</f>
        <v>870</v>
      </c>
    </row>
    <row r="25" spans="1:25" x14ac:dyDescent="0.25">
      <c r="K25" s="5" t="s">
        <v>18</v>
      </c>
      <c r="O25" s="5">
        <f>+O23+O24</f>
        <v>1630</v>
      </c>
    </row>
    <row r="26" spans="1:25" x14ac:dyDescent="0.25">
      <c r="K26" s="6" t="s">
        <v>19</v>
      </c>
      <c r="O26" s="5">
        <v>10</v>
      </c>
    </row>
    <row r="27" spans="1:25" x14ac:dyDescent="0.25">
      <c r="K27" s="6" t="s">
        <v>20</v>
      </c>
      <c r="O27" s="9">
        <v>40</v>
      </c>
    </row>
    <row r="28" spans="1:25" x14ac:dyDescent="0.25">
      <c r="K28" s="6" t="s">
        <v>21</v>
      </c>
      <c r="O28" s="5">
        <f>+O25+O26+O27</f>
        <v>1680</v>
      </c>
    </row>
    <row r="30" spans="1:25" x14ac:dyDescent="0.25">
      <c r="K30" s="6" t="s">
        <v>22</v>
      </c>
    </row>
    <row r="31" spans="1:25" x14ac:dyDescent="0.25">
      <c r="K31" s="6" t="s">
        <v>76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v>152</v>
      </c>
    </row>
    <row r="34" spans="1:17" x14ac:dyDescent="0.25">
      <c r="O34" s="5" t="s">
        <v>59</v>
      </c>
    </row>
    <row r="35" spans="1:17" x14ac:dyDescent="0.25">
      <c r="K35" s="6" t="s">
        <v>21</v>
      </c>
      <c r="O35" s="5">
        <f>+O28+O30+O31+O32+O33</f>
        <v>1832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500+90+85+50+11+280</f>
        <v>1016</v>
      </c>
      <c r="E43" s="5">
        <f>1+13+50+85+80+500+320+200+150</f>
        <v>1399</v>
      </c>
      <c r="G43" s="5">
        <f>1+280+150+115+75+6</f>
        <v>627</v>
      </c>
      <c r="I43" s="5">
        <f>340+170+100+21+50</f>
        <v>681</v>
      </c>
      <c r="K43" s="5">
        <f>9.5+13+50+100+160+160+250</f>
        <v>742.5</v>
      </c>
      <c r="M43" s="5">
        <f>220+500+50+120+115+50+25+5+4.5</f>
        <v>1089.5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1016</v>
      </c>
      <c r="E52" s="5">
        <f t="shared" ref="E52:Q52" si="1">SUM(E43:E51)</f>
        <v>1399</v>
      </c>
      <c r="G52" s="5">
        <f t="shared" si="1"/>
        <v>627</v>
      </c>
      <c r="I52" s="5">
        <f t="shared" si="1"/>
        <v>681</v>
      </c>
      <c r="K52" s="5">
        <f t="shared" si="1"/>
        <v>742.5</v>
      </c>
      <c r="M52" s="5">
        <f t="shared" si="1"/>
        <v>1089.5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580</v>
      </c>
      <c r="D53" s="5"/>
      <c r="E53" s="7">
        <v>300</v>
      </c>
      <c r="F53" s="5"/>
      <c r="G53" s="7">
        <v>300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436</v>
      </c>
      <c r="E54" s="5">
        <f t="shared" ref="E54:M54" si="2">+E52-E53</f>
        <v>1099</v>
      </c>
      <c r="G54" s="5">
        <f t="shared" si="2"/>
        <v>327</v>
      </c>
      <c r="I54" s="5">
        <f t="shared" si="2"/>
        <v>381</v>
      </c>
      <c r="K54" s="5">
        <f t="shared" si="2"/>
        <v>442.5</v>
      </c>
      <c r="M54" s="5">
        <f t="shared" si="2"/>
        <v>789.5</v>
      </c>
      <c r="Q54" s="5">
        <f>+C54+E54+G54+I54+K54+M54</f>
        <v>3475</v>
      </c>
    </row>
    <row r="57" spans="1:36" x14ac:dyDescent="0.25">
      <c r="A57" t="s">
        <v>37</v>
      </c>
      <c r="K57" s="5">
        <v>60</v>
      </c>
      <c r="Q57" s="5">
        <f>+C57+E57+G57+I57+K57+M57+O57</f>
        <v>60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436</v>
      </c>
      <c r="E60" s="5">
        <f t="shared" ref="E60:M60" si="3">+E54+E57</f>
        <v>1099</v>
      </c>
      <c r="G60" s="5">
        <f t="shared" si="3"/>
        <v>327</v>
      </c>
      <c r="I60" s="5">
        <f t="shared" si="3"/>
        <v>381</v>
      </c>
      <c r="K60" s="5">
        <f t="shared" si="3"/>
        <v>502.5</v>
      </c>
      <c r="M60" s="5">
        <f t="shared" si="3"/>
        <v>789.5</v>
      </c>
      <c r="Q60" s="5">
        <f>+Q54+Q57</f>
        <v>3535</v>
      </c>
    </row>
    <row r="63" spans="1:36" s="8" customFormat="1" ht="15.75" thickBot="1" x14ac:dyDescent="0.3">
      <c r="A63" s="5" t="s">
        <v>39</v>
      </c>
      <c r="B63" s="5"/>
      <c r="C63" s="8">
        <f>+C60</f>
        <v>436</v>
      </c>
      <c r="E63" s="8">
        <f t="shared" ref="E63:Q63" si="4">+E60</f>
        <v>1099</v>
      </c>
      <c r="G63" s="8">
        <f t="shared" si="4"/>
        <v>327</v>
      </c>
      <c r="I63" s="8">
        <f t="shared" si="4"/>
        <v>381</v>
      </c>
      <c r="K63" s="8">
        <f t="shared" si="4"/>
        <v>502.5</v>
      </c>
      <c r="M63" s="8">
        <f t="shared" si="4"/>
        <v>789.5</v>
      </c>
      <c r="O63" s="8">
        <f t="shared" si="4"/>
        <v>0</v>
      </c>
      <c r="Q63" s="8">
        <f t="shared" si="4"/>
        <v>3535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3" x14ac:dyDescent="0.25">
      <c r="A65" t="s">
        <v>40</v>
      </c>
      <c r="C65" s="5">
        <f>117+20+900</f>
        <v>1037</v>
      </c>
      <c r="E65" s="5">
        <f>14+75+545</f>
        <v>634</v>
      </c>
      <c r="G65" s="5">
        <f>7+419</f>
        <v>426</v>
      </c>
      <c r="I65" s="5">
        <v>364</v>
      </c>
      <c r="K65" s="5">
        <v>386</v>
      </c>
      <c r="M65" s="5">
        <v>965</v>
      </c>
    </row>
    <row r="67" spans="1:13" x14ac:dyDescent="0.25">
      <c r="A67" t="s">
        <v>42</v>
      </c>
    </row>
    <row r="68" spans="1:13" x14ac:dyDescent="0.25">
      <c r="A68" t="s">
        <v>41</v>
      </c>
      <c r="C68" s="10">
        <f>+Q60</f>
        <v>3535</v>
      </c>
      <c r="I68" s="5" t="s">
        <v>43</v>
      </c>
      <c r="K68" s="11">
        <f>+C65+E65+G65+I65+K65+M65+C68</f>
        <v>7347</v>
      </c>
    </row>
  </sheetData>
  <pageMargins left="0.7" right="0.7" top="0.75" bottom="0.75" header="0.3" footer="0.3"/>
  <pageSetup scale="72" orientation="landscape" r:id="rId1"/>
  <rowBreaks count="1" manualBreakCount="1">
    <brk id="38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zoomScaleNormal="100" workbookViewId="0">
      <selection activeCell="M31" sqref="M31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82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74</v>
      </c>
      <c r="E8" s="5">
        <v>16</v>
      </c>
      <c r="G8" s="5">
        <v>18</v>
      </c>
      <c r="K8" s="5">
        <v>16</v>
      </c>
      <c r="O8" s="5">
        <v>8</v>
      </c>
      <c r="S8" s="5">
        <v>2</v>
      </c>
      <c r="U8" s="5">
        <v>27</v>
      </c>
      <c r="W8" s="5">
        <v>1</v>
      </c>
      <c r="Y8">
        <v>25</v>
      </c>
    </row>
    <row r="9" spans="1:25" x14ac:dyDescent="0.25">
      <c r="C9" s="5">
        <v>58</v>
      </c>
      <c r="E9" s="5">
        <v>16</v>
      </c>
      <c r="G9" s="5">
        <v>17</v>
      </c>
      <c r="K9" s="5">
        <v>10</v>
      </c>
      <c r="M9" s="5">
        <v>3</v>
      </c>
      <c r="O9" s="5">
        <v>7</v>
      </c>
      <c r="S9" s="5">
        <v>2</v>
      </c>
      <c r="U9" s="5">
        <v>41</v>
      </c>
      <c r="W9" s="5">
        <v>3</v>
      </c>
      <c r="Y9">
        <v>5</v>
      </c>
    </row>
    <row r="10" spans="1:25" x14ac:dyDescent="0.25">
      <c r="C10" s="5">
        <v>137</v>
      </c>
      <c r="E10" s="5">
        <v>36</v>
      </c>
      <c r="G10" s="5">
        <v>77</v>
      </c>
      <c r="K10" s="5">
        <v>15</v>
      </c>
      <c r="M10" s="5">
        <v>8</v>
      </c>
      <c r="O10" s="5">
        <v>30</v>
      </c>
      <c r="S10" s="5">
        <v>19</v>
      </c>
      <c r="U10" s="5">
        <v>45</v>
      </c>
      <c r="W10" s="5">
        <v>2</v>
      </c>
      <c r="Y10">
        <v>17</v>
      </c>
    </row>
    <row r="11" spans="1:25" x14ac:dyDescent="0.25">
      <c r="C11" s="6">
        <v>130</v>
      </c>
      <c r="E11" s="6">
        <v>17</v>
      </c>
      <c r="G11" s="6">
        <v>42</v>
      </c>
      <c r="K11" s="6">
        <v>10</v>
      </c>
      <c r="M11" s="6"/>
      <c r="O11" s="6">
        <v>14</v>
      </c>
      <c r="Q11" s="6"/>
      <c r="S11" s="6">
        <v>5</v>
      </c>
      <c r="U11" s="6">
        <v>29</v>
      </c>
      <c r="W11" s="6">
        <v>5</v>
      </c>
      <c r="Y11">
        <v>22</v>
      </c>
    </row>
    <row r="12" spans="1:25" x14ac:dyDescent="0.25">
      <c r="C12" s="6">
        <v>108</v>
      </c>
      <c r="E12" s="6">
        <v>8</v>
      </c>
      <c r="G12" s="6">
        <v>34</v>
      </c>
      <c r="K12" s="6">
        <v>24</v>
      </c>
      <c r="M12" s="6">
        <v>2</v>
      </c>
      <c r="O12" s="6">
        <v>16</v>
      </c>
      <c r="S12" s="6">
        <v>2</v>
      </c>
      <c r="U12" s="6">
        <v>25</v>
      </c>
      <c r="W12" s="6">
        <v>1</v>
      </c>
      <c r="Y12">
        <v>44</v>
      </c>
    </row>
    <row r="13" spans="1:25" x14ac:dyDescent="0.25">
      <c r="C13" s="6">
        <v>92</v>
      </c>
      <c r="E13" s="6">
        <v>3</v>
      </c>
      <c r="G13" s="6">
        <v>22</v>
      </c>
      <c r="K13" s="6">
        <v>25</v>
      </c>
      <c r="M13" s="6">
        <v>3</v>
      </c>
      <c r="O13" s="6">
        <v>19</v>
      </c>
      <c r="Q13" s="6"/>
      <c r="S13" s="6">
        <v>1</v>
      </c>
      <c r="U13" s="6">
        <v>27</v>
      </c>
      <c r="W13" s="6">
        <v>7</v>
      </c>
      <c r="Y13">
        <v>43</v>
      </c>
    </row>
    <row r="14" spans="1:25" x14ac:dyDescent="0.25">
      <c r="C14" s="6">
        <v>214</v>
      </c>
      <c r="E14" s="6">
        <v>16</v>
      </c>
      <c r="G14" s="6">
        <v>58</v>
      </c>
      <c r="K14" s="6">
        <v>50</v>
      </c>
      <c r="M14" s="6">
        <v>6</v>
      </c>
      <c r="O14" s="6">
        <v>20</v>
      </c>
      <c r="Q14" s="6"/>
      <c r="S14" s="6">
        <v>1</v>
      </c>
      <c r="U14" s="6">
        <v>39</v>
      </c>
      <c r="Y14">
        <v>35</v>
      </c>
    </row>
    <row r="15" spans="1:25" x14ac:dyDescent="0.25">
      <c r="C15" s="6">
        <v>225</v>
      </c>
      <c r="E15" s="6">
        <v>27</v>
      </c>
      <c r="G15" s="6">
        <v>69</v>
      </c>
      <c r="K15" s="6">
        <v>20</v>
      </c>
      <c r="M15" s="6">
        <v>5</v>
      </c>
      <c r="O15" s="6">
        <v>5</v>
      </c>
      <c r="S15" s="6">
        <v>4</v>
      </c>
      <c r="U15" s="6">
        <v>66</v>
      </c>
      <c r="W15" s="6"/>
      <c r="Y15">
        <v>20</v>
      </c>
    </row>
    <row r="16" spans="1:25" x14ac:dyDescent="0.25">
      <c r="C16" s="6">
        <v>106</v>
      </c>
      <c r="E16" s="6">
        <v>17</v>
      </c>
      <c r="G16" s="6">
        <v>28</v>
      </c>
      <c r="K16" s="6">
        <v>14</v>
      </c>
      <c r="M16" s="6">
        <v>4</v>
      </c>
      <c r="O16" s="6">
        <v>8</v>
      </c>
      <c r="Q16" s="6"/>
      <c r="S16" s="6"/>
      <c r="U16" s="6">
        <v>28</v>
      </c>
      <c r="W16" s="6"/>
      <c r="Y16">
        <v>36</v>
      </c>
    </row>
    <row r="17" spans="1:25" s="5" customFormat="1" x14ac:dyDescent="0.25">
      <c r="C17" s="6">
        <v>136</v>
      </c>
      <c r="E17" s="6">
        <v>17</v>
      </c>
      <c r="G17" s="6">
        <v>19</v>
      </c>
      <c r="K17" s="6">
        <v>1</v>
      </c>
      <c r="M17" s="6">
        <v>2</v>
      </c>
      <c r="O17" s="6">
        <v>3</v>
      </c>
      <c r="Q17" s="5">
        <v>2</v>
      </c>
      <c r="S17" s="6"/>
      <c r="U17" s="6">
        <v>33</v>
      </c>
      <c r="W17" s="6">
        <v>1</v>
      </c>
      <c r="Y17" s="5">
        <v>66</v>
      </c>
    </row>
    <row r="18" spans="1:25" x14ac:dyDescent="0.25">
      <c r="C18" s="9">
        <v>165</v>
      </c>
      <c r="E18" s="9">
        <v>23</v>
      </c>
      <c r="G18" s="9">
        <v>35</v>
      </c>
      <c r="I18" s="9"/>
      <c r="K18" s="9">
        <v>8</v>
      </c>
      <c r="M18" s="9">
        <v>3</v>
      </c>
      <c r="O18" s="9">
        <v>13</v>
      </c>
      <c r="Q18" s="9"/>
      <c r="S18" s="9">
        <v>2</v>
      </c>
      <c r="U18" s="9">
        <v>23</v>
      </c>
      <c r="W18" s="9">
        <v>1</v>
      </c>
      <c r="Y18" s="9">
        <v>90</v>
      </c>
    </row>
    <row r="19" spans="1:25" x14ac:dyDescent="0.25">
      <c r="A19" t="s">
        <v>13</v>
      </c>
      <c r="C19" s="5">
        <f>SUM(C8:C18)</f>
        <v>1445</v>
      </c>
      <c r="E19" s="5">
        <f t="shared" ref="E19:W19" si="0">SUM(E8:E18)</f>
        <v>196</v>
      </c>
      <c r="G19" s="5">
        <f t="shared" si="0"/>
        <v>419</v>
      </c>
      <c r="I19" s="5">
        <f t="shared" si="0"/>
        <v>0</v>
      </c>
      <c r="K19" s="5">
        <f t="shared" si="0"/>
        <v>193</v>
      </c>
      <c r="M19" s="5">
        <f t="shared" si="0"/>
        <v>36</v>
      </c>
      <c r="O19" s="5">
        <f t="shared" si="0"/>
        <v>143</v>
      </c>
      <c r="Q19" s="5">
        <f t="shared" si="0"/>
        <v>2</v>
      </c>
      <c r="S19" s="5">
        <f t="shared" si="0"/>
        <v>38</v>
      </c>
      <c r="U19" s="5">
        <f t="shared" si="0"/>
        <v>383</v>
      </c>
      <c r="W19" s="5">
        <f t="shared" si="0"/>
        <v>21</v>
      </c>
      <c r="Y19">
        <f>SUM(Y8:Y18)</f>
        <v>403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1219</v>
      </c>
    </row>
    <row r="24" spans="1:25" x14ac:dyDescent="0.25">
      <c r="K24" s="5" t="s">
        <v>17</v>
      </c>
      <c r="O24" s="9">
        <f>+C19+E19+G19</f>
        <v>2060</v>
      </c>
    </row>
    <row r="25" spans="1:25" x14ac:dyDescent="0.25">
      <c r="K25" s="5" t="s">
        <v>18</v>
      </c>
      <c r="O25" s="5">
        <f>+O23+O24</f>
        <v>3279</v>
      </c>
    </row>
    <row r="26" spans="1:25" x14ac:dyDescent="0.25">
      <c r="K26" s="6" t="s">
        <v>19</v>
      </c>
      <c r="O26" s="5">
        <v>11</v>
      </c>
    </row>
    <row r="27" spans="1:25" x14ac:dyDescent="0.25">
      <c r="K27" s="6" t="s">
        <v>20</v>
      </c>
      <c r="O27" s="9">
        <v>44</v>
      </c>
    </row>
    <row r="28" spans="1:25" x14ac:dyDescent="0.25">
      <c r="K28" s="6" t="s">
        <v>21</v>
      </c>
      <c r="O28" s="5">
        <f>+O25+O26+O27</f>
        <v>3334</v>
      </c>
    </row>
    <row r="30" spans="1:25" x14ac:dyDescent="0.25">
      <c r="K30" s="6" t="s">
        <v>22</v>
      </c>
      <c r="O30" s="5">
        <v>23</v>
      </c>
    </row>
    <row r="31" spans="1:25" x14ac:dyDescent="0.25">
      <c r="K31" s="6" t="s">
        <v>76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f>6+11+13+51+8+18+12+30+2</f>
        <v>151</v>
      </c>
    </row>
    <row r="35" spans="1:17" x14ac:dyDescent="0.25">
      <c r="K35" s="6" t="s">
        <v>21</v>
      </c>
      <c r="O35" s="5">
        <f>+O28+O30+O31+O32+O33</f>
        <v>3508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26+25+100+85+170+360+280+500+500+150+51</f>
        <v>2247</v>
      </c>
      <c r="E43" s="5">
        <f>100+500+500+280+130+65+25+140+22</f>
        <v>1762</v>
      </c>
      <c r="G43" s="5">
        <f>23+25+25+75+55+110+380+500+200+3</f>
        <v>1396</v>
      </c>
      <c r="I43" s="5">
        <f>2+22+25+25+55+160+360+200</f>
        <v>849</v>
      </c>
      <c r="K43" s="5">
        <f>100+50+200+150+500+500+150+360+70+80+20</f>
        <v>2180</v>
      </c>
      <c r="M43" s="5">
        <f>100+25+25+100+90+500+500+500+200+140</f>
        <v>2180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2247</v>
      </c>
      <c r="E52" s="5">
        <f t="shared" ref="E52:Q52" si="1">SUM(E43:E51)</f>
        <v>1762</v>
      </c>
      <c r="G52" s="5">
        <f t="shared" si="1"/>
        <v>1396</v>
      </c>
      <c r="I52" s="5">
        <f t="shared" si="1"/>
        <v>849</v>
      </c>
      <c r="K52" s="5">
        <f t="shared" si="1"/>
        <v>2180</v>
      </c>
      <c r="M52" s="5">
        <f t="shared" si="1"/>
        <v>2180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580</v>
      </c>
      <c r="D53" s="5"/>
      <c r="E53" s="7">
        <v>440</v>
      </c>
      <c r="F53" s="5"/>
      <c r="G53" s="7">
        <v>300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1667</v>
      </c>
      <c r="E54" s="5">
        <f t="shared" ref="E54:M54" si="2">+E52-E53</f>
        <v>1322</v>
      </c>
      <c r="G54" s="5">
        <f t="shared" si="2"/>
        <v>1096</v>
      </c>
      <c r="I54" s="5">
        <f t="shared" si="2"/>
        <v>549</v>
      </c>
      <c r="K54" s="5">
        <f t="shared" si="2"/>
        <v>1880</v>
      </c>
      <c r="M54" s="5">
        <f t="shared" si="2"/>
        <v>1880</v>
      </c>
      <c r="Q54" s="5">
        <f>+C54+E54+G54+I54+K54+M54</f>
        <v>8394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1667</v>
      </c>
      <c r="E60" s="5">
        <f t="shared" ref="E60:M60" si="3">+E54+E57</f>
        <v>1322</v>
      </c>
      <c r="G60" s="5">
        <f t="shared" si="3"/>
        <v>1096</v>
      </c>
      <c r="I60" s="5">
        <f t="shared" si="3"/>
        <v>549</v>
      </c>
      <c r="K60" s="5">
        <f t="shared" si="3"/>
        <v>1880</v>
      </c>
      <c r="M60" s="5">
        <f t="shared" si="3"/>
        <v>1880</v>
      </c>
      <c r="Q60" s="5">
        <f>+Q54+Q57</f>
        <v>8394</v>
      </c>
    </row>
    <row r="63" spans="1:36" s="8" customFormat="1" ht="15.75" thickBot="1" x14ac:dyDescent="0.3">
      <c r="A63" s="5" t="s">
        <v>39</v>
      </c>
      <c r="B63" s="5"/>
      <c r="C63" s="8">
        <f>+C60</f>
        <v>1667</v>
      </c>
      <c r="E63" s="8">
        <f t="shared" ref="E63:Q63" si="4">+E60</f>
        <v>1322</v>
      </c>
      <c r="G63" s="8">
        <f t="shared" si="4"/>
        <v>1096</v>
      </c>
      <c r="I63" s="8">
        <f t="shared" si="4"/>
        <v>549</v>
      </c>
      <c r="K63" s="8">
        <f t="shared" si="4"/>
        <v>1880</v>
      </c>
      <c r="M63" s="8">
        <f t="shared" si="4"/>
        <v>1880</v>
      </c>
      <c r="O63" s="8">
        <f t="shared" si="4"/>
        <v>0</v>
      </c>
      <c r="Q63" s="8">
        <f t="shared" si="4"/>
        <v>8394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3" x14ac:dyDescent="0.25">
      <c r="A65" t="s">
        <v>40</v>
      </c>
      <c r="C65" s="5">
        <f>14+136+1535</f>
        <v>1685</v>
      </c>
      <c r="E65" s="5">
        <f>30+1619</f>
        <v>1649</v>
      </c>
      <c r="G65" s="5">
        <f>20+102+1308</f>
        <v>1430</v>
      </c>
      <c r="I65" s="5">
        <v>428</v>
      </c>
      <c r="K65" s="5">
        <f>127+131+1966</f>
        <v>2224</v>
      </c>
      <c r="M65" s="5">
        <f>60+34+1989</f>
        <v>2083</v>
      </c>
    </row>
    <row r="67" spans="1:13" x14ac:dyDescent="0.25">
      <c r="A67" t="s">
        <v>42</v>
      </c>
    </row>
    <row r="68" spans="1:13" x14ac:dyDescent="0.25">
      <c r="A68" t="s">
        <v>41</v>
      </c>
      <c r="C68" s="10">
        <f>+Q60</f>
        <v>8394</v>
      </c>
      <c r="I68" s="5" t="s">
        <v>43</v>
      </c>
      <c r="K68" s="11">
        <f>+C65+E65+G65+I65+K65+M65+C68</f>
        <v>17893</v>
      </c>
    </row>
  </sheetData>
  <pageMargins left="0.7" right="0.7" top="0.75" bottom="0.75" header="0.3" footer="0.3"/>
  <pageSetup scale="72" orientation="landscape" r:id="rId1"/>
  <rowBreaks count="1" manualBreakCount="1">
    <brk id="37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topLeftCell="A43" zoomScaleNormal="100" workbookViewId="0">
      <selection activeCell="O27" sqref="O27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83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142</v>
      </c>
      <c r="E8" s="5">
        <v>50</v>
      </c>
      <c r="G8" s="5">
        <v>56</v>
      </c>
      <c r="K8" s="5">
        <v>70</v>
      </c>
      <c r="M8" s="5">
        <v>19</v>
      </c>
      <c r="O8" s="5">
        <v>57</v>
      </c>
      <c r="Q8" s="5">
        <v>6</v>
      </c>
      <c r="S8" s="5">
        <v>8</v>
      </c>
      <c r="U8" s="5">
        <v>39</v>
      </c>
      <c r="W8" s="5">
        <v>5</v>
      </c>
      <c r="Y8">
        <v>40</v>
      </c>
    </row>
    <row r="9" spans="1:25" x14ac:dyDescent="0.25">
      <c r="C9" s="5">
        <v>162</v>
      </c>
      <c r="E9" s="5">
        <v>22</v>
      </c>
      <c r="G9" s="5">
        <v>40</v>
      </c>
      <c r="K9" s="5">
        <v>44</v>
      </c>
      <c r="M9" s="5">
        <v>10</v>
      </c>
      <c r="O9" s="5">
        <v>22</v>
      </c>
      <c r="Q9" s="5">
        <v>12</v>
      </c>
      <c r="S9" s="5">
        <v>6</v>
      </c>
      <c r="U9" s="5">
        <v>27</v>
      </c>
      <c r="W9" s="5">
        <v>16</v>
      </c>
      <c r="Y9">
        <v>25</v>
      </c>
    </row>
    <row r="10" spans="1:25" x14ac:dyDescent="0.25">
      <c r="C10" s="5">
        <v>123</v>
      </c>
      <c r="G10" s="5">
        <v>49</v>
      </c>
      <c r="K10" s="5">
        <v>21</v>
      </c>
      <c r="M10" s="5">
        <v>4</v>
      </c>
      <c r="O10" s="5">
        <v>24</v>
      </c>
      <c r="S10" s="5">
        <v>3</v>
      </c>
      <c r="U10" s="5">
        <v>37</v>
      </c>
      <c r="W10" s="5">
        <v>7</v>
      </c>
      <c r="Y10">
        <v>33</v>
      </c>
    </row>
    <row r="11" spans="1:25" x14ac:dyDescent="0.25">
      <c r="C11" s="6">
        <v>51</v>
      </c>
      <c r="E11" s="6">
        <v>6</v>
      </c>
      <c r="G11" s="6">
        <v>15</v>
      </c>
      <c r="K11" s="6">
        <v>2</v>
      </c>
      <c r="M11" s="6">
        <v>6</v>
      </c>
      <c r="O11" s="6">
        <v>22</v>
      </c>
      <c r="Q11" s="6"/>
      <c r="S11" s="6">
        <v>14</v>
      </c>
      <c r="U11" s="6">
        <v>130</v>
      </c>
      <c r="W11" s="6">
        <v>8</v>
      </c>
      <c r="Y11">
        <v>36</v>
      </c>
    </row>
    <row r="12" spans="1:25" x14ac:dyDescent="0.25">
      <c r="C12" s="6">
        <v>210</v>
      </c>
      <c r="E12" s="6">
        <v>20</v>
      </c>
      <c r="G12" s="6">
        <v>74</v>
      </c>
      <c r="K12" s="6">
        <v>25</v>
      </c>
      <c r="M12" s="6">
        <v>10</v>
      </c>
      <c r="O12" s="6">
        <v>27</v>
      </c>
      <c r="S12" s="6">
        <v>4</v>
      </c>
      <c r="U12" s="6">
        <v>58</v>
      </c>
      <c r="W12" s="6">
        <v>11</v>
      </c>
      <c r="Y12">
        <v>83</v>
      </c>
    </row>
    <row r="13" spans="1:25" x14ac:dyDescent="0.25">
      <c r="C13" s="6">
        <v>220</v>
      </c>
      <c r="E13" s="6">
        <v>21</v>
      </c>
      <c r="G13" s="6">
        <v>61</v>
      </c>
      <c r="K13" s="6">
        <v>29</v>
      </c>
      <c r="M13" s="6">
        <v>25</v>
      </c>
      <c r="O13" s="6">
        <v>41</v>
      </c>
      <c r="Q13" s="6"/>
      <c r="S13" s="6">
        <v>5</v>
      </c>
      <c r="U13" s="6">
        <v>68</v>
      </c>
      <c r="W13" s="6">
        <v>6</v>
      </c>
      <c r="Y13">
        <v>39</v>
      </c>
    </row>
    <row r="14" spans="1:25" x14ac:dyDescent="0.25">
      <c r="C14" s="6">
        <v>204</v>
      </c>
      <c r="E14" s="6">
        <v>17</v>
      </c>
      <c r="G14" s="6">
        <v>61</v>
      </c>
      <c r="K14" s="6">
        <v>22</v>
      </c>
      <c r="M14" s="6">
        <v>7</v>
      </c>
      <c r="O14" s="6">
        <v>16</v>
      </c>
      <c r="Q14" s="6"/>
      <c r="S14" s="6"/>
      <c r="U14" s="6">
        <v>50</v>
      </c>
      <c r="W14" s="6">
        <v>1</v>
      </c>
      <c r="Y14">
        <v>12</v>
      </c>
    </row>
    <row r="15" spans="1:25" x14ac:dyDescent="0.25">
      <c r="C15" s="6">
        <f>300+223+370</f>
        <v>893</v>
      </c>
      <c r="E15" s="6">
        <f>27+15+41</f>
        <v>83</v>
      </c>
      <c r="G15" s="6">
        <f>104+95+78</f>
        <v>277</v>
      </c>
      <c r="K15" s="6">
        <v>46</v>
      </c>
      <c r="M15" s="6">
        <v>10</v>
      </c>
      <c r="O15" s="6">
        <v>25</v>
      </c>
      <c r="S15" s="6">
        <v>1</v>
      </c>
      <c r="U15" s="6">
        <v>70</v>
      </c>
      <c r="W15" s="6">
        <v>4</v>
      </c>
      <c r="Y15">
        <v>83</v>
      </c>
    </row>
    <row r="16" spans="1:25" x14ac:dyDescent="0.25">
      <c r="C16" s="6">
        <v>300</v>
      </c>
      <c r="E16" s="6">
        <v>55</v>
      </c>
      <c r="G16" s="6">
        <v>100</v>
      </c>
      <c r="K16" s="6">
        <v>53</v>
      </c>
      <c r="M16" s="6">
        <v>14</v>
      </c>
      <c r="O16" s="6">
        <v>34</v>
      </c>
      <c r="Q16" s="6">
        <v>1</v>
      </c>
      <c r="S16" s="6">
        <v>8</v>
      </c>
      <c r="U16" s="6">
        <v>51</v>
      </c>
      <c r="W16" s="6">
        <v>21</v>
      </c>
      <c r="Y16">
        <v>19</v>
      </c>
    </row>
    <row r="17" spans="1:25" s="5" customFormat="1" x14ac:dyDescent="0.25">
      <c r="C17" s="6">
        <v>367</v>
      </c>
      <c r="E17" s="6">
        <v>32</v>
      </c>
      <c r="G17" s="6">
        <v>105</v>
      </c>
      <c r="K17" s="6">
        <v>37</v>
      </c>
      <c r="M17" s="6">
        <v>3</v>
      </c>
      <c r="O17" s="6">
        <v>27</v>
      </c>
      <c r="S17" s="6">
        <v>5</v>
      </c>
      <c r="U17" s="6">
        <v>54</v>
      </c>
      <c r="W17" s="6">
        <v>10</v>
      </c>
      <c r="Y17" s="5">
        <v>109</v>
      </c>
    </row>
    <row r="18" spans="1:25" x14ac:dyDescent="0.25">
      <c r="C18" s="9">
        <v>117</v>
      </c>
      <c r="E18" s="9">
        <v>12</v>
      </c>
      <c r="G18" s="9">
        <v>45</v>
      </c>
      <c r="I18" s="9"/>
      <c r="K18" s="9">
        <v>15</v>
      </c>
      <c r="M18" s="9">
        <v>8</v>
      </c>
      <c r="O18" s="9">
        <v>16</v>
      </c>
      <c r="Q18" s="9"/>
      <c r="S18" s="9"/>
      <c r="U18" s="9">
        <v>25</v>
      </c>
      <c r="W18" s="9"/>
      <c r="Y18" s="9">
        <v>29</v>
      </c>
    </row>
    <row r="19" spans="1:25" x14ac:dyDescent="0.25">
      <c r="A19" t="s">
        <v>13</v>
      </c>
      <c r="C19" s="5">
        <f>SUM(C8:C18)</f>
        <v>2789</v>
      </c>
      <c r="E19" s="5">
        <f t="shared" ref="E19:W19" si="0">SUM(E8:E18)</f>
        <v>318</v>
      </c>
      <c r="G19" s="5">
        <f t="shared" si="0"/>
        <v>883</v>
      </c>
      <c r="I19" s="5">
        <f t="shared" si="0"/>
        <v>0</v>
      </c>
      <c r="K19" s="5">
        <f t="shared" si="0"/>
        <v>364</v>
      </c>
      <c r="M19" s="5">
        <f t="shared" si="0"/>
        <v>116</v>
      </c>
      <c r="O19" s="5">
        <f t="shared" si="0"/>
        <v>311</v>
      </c>
      <c r="Q19" s="5">
        <f t="shared" si="0"/>
        <v>19</v>
      </c>
      <c r="S19" s="5">
        <f t="shared" si="0"/>
        <v>54</v>
      </c>
      <c r="U19" s="5">
        <f t="shared" si="0"/>
        <v>609</v>
      </c>
      <c r="W19" s="5">
        <f t="shared" si="0"/>
        <v>89</v>
      </c>
      <c r="Y19">
        <f>SUM(Y8:Y18)</f>
        <v>508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2070</v>
      </c>
    </row>
    <row r="24" spans="1:25" x14ac:dyDescent="0.25">
      <c r="K24" s="5" t="s">
        <v>17</v>
      </c>
      <c r="O24" s="9">
        <f>+C19+E19+G19</f>
        <v>3990</v>
      </c>
    </row>
    <row r="25" spans="1:25" x14ac:dyDescent="0.25">
      <c r="K25" s="5" t="s">
        <v>18</v>
      </c>
      <c r="O25" s="5">
        <f>+O23+O24</f>
        <v>6060</v>
      </c>
    </row>
    <row r="26" spans="1:25" x14ac:dyDescent="0.25">
      <c r="K26" s="6" t="s">
        <v>19</v>
      </c>
      <c r="O26" s="5">
        <v>13</v>
      </c>
    </row>
    <row r="27" spans="1:25" x14ac:dyDescent="0.25">
      <c r="K27" s="6" t="s">
        <v>20</v>
      </c>
      <c r="O27" s="9">
        <v>57</v>
      </c>
    </row>
    <row r="28" spans="1:25" x14ac:dyDescent="0.25">
      <c r="K28" s="6" t="s">
        <v>21</v>
      </c>
      <c r="O28" s="5">
        <f>+O25+O26+O27</f>
        <v>6130</v>
      </c>
    </row>
    <row r="30" spans="1:25" x14ac:dyDescent="0.25">
      <c r="K30" s="6" t="s">
        <v>22</v>
      </c>
    </row>
    <row r="31" spans="1:25" x14ac:dyDescent="0.25">
      <c r="K31" s="6" t="s">
        <v>76</v>
      </c>
    </row>
    <row r="32" spans="1:25" x14ac:dyDescent="0.25">
      <c r="K32" s="6" t="s">
        <v>24</v>
      </c>
      <c r="O32" s="5">
        <v>6</v>
      </c>
    </row>
    <row r="33" spans="1:17" x14ac:dyDescent="0.25">
      <c r="K33" s="6" t="s">
        <v>25</v>
      </c>
      <c r="O33" s="9">
        <v>105</v>
      </c>
    </row>
    <row r="35" spans="1:17" x14ac:dyDescent="0.25">
      <c r="K35" s="6" t="s">
        <v>21</v>
      </c>
      <c r="O35" s="5">
        <f>+O28+O30+O31+O32+O33</f>
        <v>6241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300+250+500+500+500+500+420+15+50+50+95+300</f>
        <v>3480</v>
      </c>
      <c r="E43" s="5">
        <f>720+2+25+135+10+500+500+50+50+260+500+500+100</f>
        <v>3352</v>
      </c>
      <c r="G43" s="5">
        <f>500+6+130+50+500+200+300</f>
        <v>1686</v>
      </c>
      <c r="I43" s="5">
        <f>1+200+13+25+45+20+500+400+300+300</f>
        <v>1804</v>
      </c>
      <c r="K43" s="5">
        <f>300+25+8+20+50+260+300+10+40+450+60+50+500+450+300+380</f>
        <v>3203</v>
      </c>
      <c r="M43" s="5">
        <f>300+100+500+500+500+500+300+9+115+10+500+240</f>
        <v>3574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3480</v>
      </c>
      <c r="E52" s="5">
        <f t="shared" ref="E52:Q52" si="1">SUM(E43:E51)</f>
        <v>3352</v>
      </c>
      <c r="G52" s="5">
        <f t="shared" si="1"/>
        <v>1686</v>
      </c>
      <c r="I52" s="5">
        <f t="shared" si="1"/>
        <v>1804</v>
      </c>
      <c r="K52" s="5">
        <f t="shared" si="1"/>
        <v>3203</v>
      </c>
      <c r="M52" s="5">
        <f t="shared" si="1"/>
        <v>3574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720</v>
      </c>
      <c r="F53" s="5"/>
      <c r="G53" s="7">
        <v>300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3180</v>
      </c>
      <c r="E54" s="5">
        <f t="shared" ref="E54:M54" si="2">+E52-E53</f>
        <v>2632</v>
      </c>
      <c r="G54" s="5">
        <f t="shared" si="2"/>
        <v>1386</v>
      </c>
      <c r="I54" s="5">
        <f t="shared" si="2"/>
        <v>1504</v>
      </c>
      <c r="K54" s="5">
        <f t="shared" si="2"/>
        <v>2903</v>
      </c>
      <c r="M54" s="5">
        <f t="shared" si="2"/>
        <v>3274</v>
      </c>
      <c r="Q54" s="5">
        <f>+C54+E54+G54+I54+K54+M54</f>
        <v>14879</v>
      </c>
    </row>
    <row r="57" spans="1:36" x14ac:dyDescent="0.25">
      <c r="A57" t="s">
        <v>37</v>
      </c>
      <c r="E57" s="5">
        <v>51</v>
      </c>
      <c r="Q57" s="5">
        <f>+C57+E57+G57+I57+K57+M57+O57</f>
        <v>51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3180</v>
      </c>
      <c r="E60" s="5">
        <f t="shared" ref="E60:M60" si="3">+E54+E57</f>
        <v>2683</v>
      </c>
      <c r="G60" s="5">
        <f t="shared" si="3"/>
        <v>1386</v>
      </c>
      <c r="I60" s="5">
        <f t="shared" si="3"/>
        <v>1504</v>
      </c>
      <c r="K60" s="5">
        <f t="shared" si="3"/>
        <v>2903</v>
      </c>
      <c r="M60" s="5">
        <f t="shared" si="3"/>
        <v>3274</v>
      </c>
      <c r="Q60" s="5">
        <f>+Q54+Q57</f>
        <v>14930</v>
      </c>
    </row>
    <row r="63" spans="1:36" s="8" customFormat="1" ht="15.75" thickBot="1" x14ac:dyDescent="0.3">
      <c r="A63" s="5" t="s">
        <v>39</v>
      </c>
      <c r="B63" s="5"/>
      <c r="C63" s="8">
        <f>+C60</f>
        <v>3180</v>
      </c>
      <c r="E63" s="8">
        <f t="shared" ref="E63:Q63" si="4">+E60</f>
        <v>2683</v>
      </c>
      <c r="G63" s="8">
        <f t="shared" si="4"/>
        <v>1386</v>
      </c>
      <c r="I63" s="8">
        <f t="shared" si="4"/>
        <v>1504</v>
      </c>
      <c r="K63" s="8">
        <f t="shared" si="4"/>
        <v>2903</v>
      </c>
      <c r="M63" s="8">
        <f t="shared" si="4"/>
        <v>3274</v>
      </c>
      <c r="O63" s="8">
        <f t="shared" si="4"/>
        <v>0</v>
      </c>
      <c r="Q63" s="8">
        <f t="shared" si="4"/>
        <v>14930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3" x14ac:dyDescent="0.25">
      <c r="A65" t="s">
        <v>40</v>
      </c>
      <c r="C65" s="5">
        <f>67+2759</f>
        <v>2826</v>
      </c>
      <c r="E65" s="5">
        <f>144+92+2756</f>
        <v>2992</v>
      </c>
      <c r="G65" s="5">
        <f>58+78+2025</f>
        <v>2161</v>
      </c>
      <c r="I65" s="5">
        <f>101+27+2596</f>
        <v>2724</v>
      </c>
      <c r="K65" s="5">
        <f>164+2862</f>
        <v>3026</v>
      </c>
      <c r="M65" s="5">
        <f>72+132+3984</f>
        <v>4188</v>
      </c>
    </row>
    <row r="67" spans="1:13" x14ac:dyDescent="0.25">
      <c r="A67" t="s">
        <v>42</v>
      </c>
    </row>
    <row r="68" spans="1:13" x14ac:dyDescent="0.25">
      <c r="A68" t="s">
        <v>41</v>
      </c>
      <c r="C68" s="10">
        <f>+Q60</f>
        <v>14930</v>
      </c>
      <c r="I68" s="5" t="s">
        <v>43</v>
      </c>
      <c r="K68" s="11">
        <f>+C65+E65+G65+I65+K65+M65+C68</f>
        <v>32847</v>
      </c>
    </row>
  </sheetData>
  <pageMargins left="0.7" right="0.7" top="0.75" bottom="0.75" header="0.3" footer="0.3"/>
  <pageSetup scale="72" orientation="landscape" r:id="rId1"/>
  <rowBreaks count="1" manualBreakCount="1">
    <brk id="37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zoomScaleNormal="100" workbookViewId="0">
      <selection activeCell="G31" sqref="G31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84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134</v>
      </c>
      <c r="E8" s="5">
        <f>84+26</f>
        <v>110</v>
      </c>
      <c r="G8" s="5">
        <v>59</v>
      </c>
      <c r="K8" s="5">
        <v>49</v>
      </c>
      <c r="M8" s="5">
        <v>4</v>
      </c>
      <c r="O8" s="5">
        <v>21</v>
      </c>
      <c r="Q8" s="5">
        <v>2</v>
      </c>
      <c r="S8" s="5">
        <v>7</v>
      </c>
      <c r="U8" s="5">
        <v>60</v>
      </c>
      <c r="W8" s="5">
        <v>5</v>
      </c>
      <c r="Y8">
        <f>119+42</f>
        <v>161</v>
      </c>
    </row>
    <row r="9" spans="1:25" x14ac:dyDescent="0.25">
      <c r="C9" s="5">
        <v>80</v>
      </c>
      <c r="E9" s="5">
        <v>4</v>
      </c>
      <c r="G9" s="5">
        <v>27</v>
      </c>
      <c r="K9" s="5">
        <v>14</v>
      </c>
      <c r="M9" s="5">
        <v>3</v>
      </c>
      <c r="O9" s="5">
        <v>12</v>
      </c>
      <c r="S9" s="5">
        <v>1</v>
      </c>
      <c r="U9" s="5">
        <v>25</v>
      </c>
      <c r="W9" s="5">
        <v>19</v>
      </c>
      <c r="Y9">
        <v>17</v>
      </c>
    </row>
    <row r="10" spans="1:25" x14ac:dyDescent="0.25">
      <c r="C10" s="5">
        <v>152</v>
      </c>
      <c r="E10" s="5">
        <v>26</v>
      </c>
      <c r="G10" s="5">
        <v>41</v>
      </c>
      <c r="K10" s="5">
        <v>27</v>
      </c>
      <c r="M10" s="5">
        <v>3</v>
      </c>
      <c r="O10" s="5">
        <v>29</v>
      </c>
      <c r="S10" s="5">
        <v>7</v>
      </c>
      <c r="U10" s="5">
        <v>58</v>
      </c>
      <c r="W10" s="5">
        <v>2</v>
      </c>
      <c r="Y10">
        <v>25</v>
      </c>
    </row>
    <row r="11" spans="1:25" x14ac:dyDescent="0.25">
      <c r="C11" s="6">
        <v>187</v>
      </c>
      <c r="E11" s="6">
        <v>49</v>
      </c>
      <c r="G11" s="6">
        <v>54</v>
      </c>
      <c r="K11" s="6">
        <v>37</v>
      </c>
      <c r="M11" s="6">
        <v>14</v>
      </c>
      <c r="O11" s="6">
        <v>37</v>
      </c>
      <c r="Q11" s="6"/>
      <c r="S11" s="6">
        <v>2</v>
      </c>
      <c r="U11" s="6">
        <v>24</v>
      </c>
      <c r="W11" s="6">
        <v>3</v>
      </c>
      <c r="Y11">
        <v>34</v>
      </c>
    </row>
    <row r="12" spans="1:25" x14ac:dyDescent="0.25">
      <c r="C12" s="6">
        <v>139</v>
      </c>
      <c r="E12" s="6">
        <v>19</v>
      </c>
      <c r="G12" s="6">
        <v>37</v>
      </c>
      <c r="K12" s="6">
        <v>30</v>
      </c>
      <c r="M12" s="6">
        <v>12</v>
      </c>
      <c r="O12" s="6">
        <v>12</v>
      </c>
      <c r="S12" s="6">
        <v>1</v>
      </c>
      <c r="U12" s="6">
        <v>28</v>
      </c>
      <c r="W12" s="6">
        <v>3</v>
      </c>
      <c r="Y12">
        <v>73</v>
      </c>
    </row>
    <row r="13" spans="1:25" x14ac:dyDescent="0.25">
      <c r="C13" s="6">
        <v>139</v>
      </c>
      <c r="E13" s="6">
        <v>28</v>
      </c>
      <c r="G13" s="6"/>
      <c r="K13" s="6">
        <v>13</v>
      </c>
      <c r="M13" s="6">
        <v>34</v>
      </c>
      <c r="O13" s="6">
        <v>8</v>
      </c>
      <c r="Q13" s="6"/>
      <c r="S13" s="6"/>
      <c r="U13" s="6">
        <v>57</v>
      </c>
      <c r="W13" s="6"/>
      <c r="Y13">
        <v>43</v>
      </c>
    </row>
    <row r="14" spans="1:25" x14ac:dyDescent="0.25">
      <c r="C14" s="6">
        <v>375</v>
      </c>
      <c r="E14" s="6">
        <v>64</v>
      </c>
      <c r="G14" s="6">
        <v>81</v>
      </c>
      <c r="K14" s="6">
        <v>47</v>
      </c>
      <c r="M14" s="6">
        <v>13</v>
      </c>
      <c r="O14" s="6">
        <v>43</v>
      </c>
      <c r="Q14" s="6">
        <v>1</v>
      </c>
      <c r="S14" s="6">
        <v>2</v>
      </c>
      <c r="U14" s="6">
        <v>92</v>
      </c>
      <c r="W14" s="6">
        <v>6</v>
      </c>
      <c r="Y14">
        <v>20</v>
      </c>
    </row>
    <row r="15" spans="1:25" x14ac:dyDescent="0.25">
      <c r="C15" s="6"/>
      <c r="E15" s="6"/>
      <c r="G15" s="6"/>
      <c r="K15" s="6"/>
      <c r="M15" s="6"/>
      <c r="O15" s="6"/>
      <c r="S15" s="6"/>
      <c r="U15" s="6"/>
      <c r="W15" s="6"/>
    </row>
    <row r="16" spans="1:25" x14ac:dyDescent="0.25">
      <c r="C16" s="6"/>
      <c r="E16" s="6"/>
      <c r="G16" s="6"/>
      <c r="K16" s="6"/>
      <c r="M16" s="6"/>
      <c r="O16" s="6"/>
      <c r="Q16" s="6"/>
      <c r="S16" s="6"/>
      <c r="U16" s="6"/>
      <c r="W16" s="6"/>
    </row>
    <row r="17" spans="1:25" s="5" customFormat="1" x14ac:dyDescent="0.25">
      <c r="C17" s="6"/>
      <c r="E17" s="6"/>
      <c r="G17" s="6"/>
      <c r="K17" s="6"/>
      <c r="M17" s="6"/>
      <c r="O17" s="6"/>
      <c r="S17" s="6"/>
      <c r="U17" s="6"/>
      <c r="W17" s="6"/>
    </row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1206</v>
      </c>
      <c r="E19" s="5">
        <f t="shared" ref="E19:W19" si="0">SUM(E8:E18)</f>
        <v>300</v>
      </c>
      <c r="G19" s="5">
        <f t="shared" si="0"/>
        <v>299</v>
      </c>
      <c r="I19" s="5">
        <f t="shared" si="0"/>
        <v>0</v>
      </c>
      <c r="K19" s="5">
        <f t="shared" si="0"/>
        <v>217</v>
      </c>
      <c r="M19" s="5">
        <f t="shared" si="0"/>
        <v>83</v>
      </c>
      <c r="O19" s="5">
        <f t="shared" si="0"/>
        <v>162</v>
      </c>
      <c r="Q19" s="5">
        <f t="shared" si="0"/>
        <v>3</v>
      </c>
      <c r="S19" s="5">
        <f t="shared" si="0"/>
        <v>20</v>
      </c>
      <c r="U19" s="5">
        <f t="shared" si="0"/>
        <v>344</v>
      </c>
      <c r="W19" s="5">
        <f t="shared" si="0"/>
        <v>38</v>
      </c>
      <c r="Y19">
        <f>SUM(Y8:Y18)</f>
        <v>373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1240</v>
      </c>
    </row>
    <row r="24" spans="1:25" x14ac:dyDescent="0.25">
      <c r="K24" s="5" t="s">
        <v>17</v>
      </c>
      <c r="O24" s="9">
        <f>+C19+E19+G19</f>
        <v>1805</v>
      </c>
    </row>
    <row r="25" spans="1:25" x14ac:dyDescent="0.25">
      <c r="K25" s="5" t="s">
        <v>18</v>
      </c>
      <c r="O25" s="5">
        <f>+O23+O24</f>
        <v>3045</v>
      </c>
    </row>
    <row r="26" spans="1:25" x14ac:dyDescent="0.25">
      <c r="K26" s="6" t="s">
        <v>19</v>
      </c>
      <c r="O26" s="5">
        <v>10</v>
      </c>
    </row>
    <row r="27" spans="1:25" x14ac:dyDescent="0.25">
      <c r="K27" s="6" t="s">
        <v>20</v>
      </c>
      <c r="O27" s="9">
        <v>46</v>
      </c>
    </row>
    <row r="28" spans="1:25" x14ac:dyDescent="0.25">
      <c r="K28" s="6" t="s">
        <v>21</v>
      </c>
      <c r="O28" s="5">
        <f>+O25+O26+O27</f>
        <v>3101</v>
      </c>
    </row>
    <row r="30" spans="1:25" x14ac:dyDescent="0.25">
      <c r="K30" s="6" t="s">
        <v>22</v>
      </c>
    </row>
    <row r="31" spans="1:25" x14ac:dyDescent="0.25">
      <c r="K31" s="6" t="s">
        <v>76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f>14+12+11+19</f>
        <v>56</v>
      </c>
    </row>
    <row r="35" spans="1:17" x14ac:dyDescent="0.25">
      <c r="K35" s="6" t="s">
        <v>21</v>
      </c>
      <c r="O35" s="5">
        <f>+O28+O30+O31+O32+O33</f>
        <v>3157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10+340+50+300+400+100+13+50+80+110+180</f>
        <v>1633</v>
      </c>
      <c r="E43" s="5">
        <f>220+150+75+1318+240+40</f>
        <v>2043</v>
      </c>
      <c r="G43" s="5">
        <f>50+500+140+140+85+50+7</f>
        <v>972</v>
      </c>
      <c r="I43" s="5">
        <f>100+360+500+400+200+105+25+27</f>
        <v>1717</v>
      </c>
      <c r="K43" s="5">
        <f>1+150+500+250+460+60+95+30+19</f>
        <v>1565</v>
      </c>
      <c r="M43" s="5">
        <f>340+20+340+100+280+90+100+25+18+180</f>
        <v>1493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1633</v>
      </c>
      <c r="E52" s="5">
        <f t="shared" ref="E52:Q52" si="1">SUM(E43:E51)</f>
        <v>2043</v>
      </c>
      <c r="G52" s="5">
        <f t="shared" si="1"/>
        <v>972</v>
      </c>
      <c r="I52" s="5">
        <f t="shared" si="1"/>
        <v>1717</v>
      </c>
      <c r="K52" s="5">
        <f t="shared" si="1"/>
        <v>1565</v>
      </c>
      <c r="M52" s="5">
        <f t="shared" si="1"/>
        <v>1493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580</v>
      </c>
      <c r="F53" s="5"/>
      <c r="G53" s="7">
        <v>300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1333</v>
      </c>
      <c r="E54" s="5">
        <f t="shared" ref="E54:M54" si="2">+E52-E53</f>
        <v>1463</v>
      </c>
      <c r="G54" s="5">
        <f t="shared" si="2"/>
        <v>672</v>
      </c>
      <c r="I54" s="5">
        <f t="shared" si="2"/>
        <v>1417</v>
      </c>
      <c r="K54" s="5">
        <f t="shared" si="2"/>
        <v>1265</v>
      </c>
      <c r="M54" s="5">
        <f t="shared" si="2"/>
        <v>1193</v>
      </c>
      <c r="Q54" s="5">
        <f>+C54+E54+G54+I54+K54+M54</f>
        <v>7343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1333</v>
      </c>
      <c r="E60" s="5">
        <f t="shared" ref="E60:M60" si="3">+E54+E57</f>
        <v>1463</v>
      </c>
      <c r="G60" s="5">
        <f t="shared" si="3"/>
        <v>672</v>
      </c>
      <c r="I60" s="5">
        <f t="shared" si="3"/>
        <v>1417</v>
      </c>
      <c r="K60" s="5">
        <f t="shared" si="3"/>
        <v>1265</v>
      </c>
      <c r="M60" s="5">
        <f t="shared" si="3"/>
        <v>1193</v>
      </c>
      <c r="Q60" s="5">
        <f>+Q54+Q57</f>
        <v>7343</v>
      </c>
    </row>
    <row r="63" spans="1:36" s="8" customFormat="1" ht="15.75" thickBot="1" x14ac:dyDescent="0.3">
      <c r="A63" s="5" t="s">
        <v>39</v>
      </c>
      <c r="B63" s="5"/>
      <c r="C63" s="8">
        <f>+C60</f>
        <v>1333</v>
      </c>
      <c r="E63" s="8">
        <f t="shared" ref="E63:Q63" si="4">+E60</f>
        <v>1463</v>
      </c>
      <c r="G63" s="8">
        <f t="shared" si="4"/>
        <v>672</v>
      </c>
      <c r="I63" s="8">
        <f t="shared" si="4"/>
        <v>1417</v>
      </c>
      <c r="K63" s="8">
        <f t="shared" si="4"/>
        <v>1265</v>
      </c>
      <c r="M63" s="8">
        <f t="shared" si="4"/>
        <v>1193</v>
      </c>
      <c r="O63" s="8">
        <f t="shared" si="4"/>
        <v>0</v>
      </c>
      <c r="Q63" s="8">
        <f t="shared" si="4"/>
        <v>7343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3" x14ac:dyDescent="0.25">
      <c r="A65" t="s">
        <v>40</v>
      </c>
      <c r="C65" s="5">
        <f>100+1404</f>
        <v>1504</v>
      </c>
      <c r="E65" s="5">
        <f>78+1314</f>
        <v>1392</v>
      </c>
      <c r="G65" s="5">
        <f>54+30+1040</f>
        <v>1124</v>
      </c>
      <c r="I65" s="5">
        <f>30+44+1229</f>
        <v>1303</v>
      </c>
      <c r="K65" s="5">
        <f>82+1896</f>
        <v>1978</v>
      </c>
      <c r="M65" s="5">
        <f>81+1295</f>
        <v>1376</v>
      </c>
    </row>
    <row r="67" spans="1:13" x14ac:dyDescent="0.25">
      <c r="A67" t="s">
        <v>42</v>
      </c>
    </row>
    <row r="68" spans="1:13" x14ac:dyDescent="0.25">
      <c r="A68" t="s">
        <v>41</v>
      </c>
      <c r="C68" s="10">
        <f>+Q60</f>
        <v>7343</v>
      </c>
      <c r="I68" s="5" t="s">
        <v>43</v>
      </c>
      <c r="K68" s="11">
        <f>+C65+E65+G65+I65+K65+M65+C68</f>
        <v>16020</v>
      </c>
    </row>
  </sheetData>
  <pageMargins left="0.7" right="0.7" top="0.75" bottom="0.75" header="0.3" footer="0.3"/>
  <pageSetup scale="72" orientation="landscape" r:id="rId1"/>
  <rowBreaks count="1" manualBreakCount="1">
    <brk id="37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zoomScaleNormal="100" workbookViewId="0">
      <selection activeCell="O28" sqref="O28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85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978</v>
      </c>
      <c r="E8" s="5">
        <v>184</v>
      </c>
      <c r="G8" s="5">
        <v>223</v>
      </c>
      <c r="K8" s="5">
        <v>112</v>
      </c>
      <c r="M8" s="5">
        <v>17</v>
      </c>
      <c r="O8" s="5">
        <v>234</v>
      </c>
      <c r="Q8" s="5">
        <v>4</v>
      </c>
      <c r="S8" s="5">
        <v>40</v>
      </c>
      <c r="U8" s="5">
        <v>257</v>
      </c>
      <c r="W8" s="5">
        <v>49</v>
      </c>
      <c r="Y8">
        <f>22+5</f>
        <v>27</v>
      </c>
    </row>
    <row r="9" spans="1:25" x14ac:dyDescent="0.25">
      <c r="U9" s="5">
        <v>5</v>
      </c>
      <c r="Y9">
        <v>80</v>
      </c>
    </row>
    <row r="10" spans="1:25" x14ac:dyDescent="0.25">
      <c r="Y10">
        <v>24</v>
      </c>
    </row>
    <row r="11" spans="1:25" x14ac:dyDescent="0.25">
      <c r="C11" s="6"/>
      <c r="E11" s="6"/>
      <c r="G11" s="6"/>
      <c r="K11" s="6"/>
      <c r="M11" s="6"/>
      <c r="O11" s="6"/>
      <c r="Q11" s="6"/>
      <c r="S11" s="6"/>
      <c r="U11" s="6"/>
      <c r="W11" s="6"/>
    </row>
    <row r="12" spans="1:25" x14ac:dyDescent="0.25">
      <c r="C12" s="6"/>
      <c r="E12" s="6"/>
      <c r="G12" s="6"/>
      <c r="K12" s="6"/>
      <c r="M12" s="6"/>
      <c r="O12" s="6"/>
      <c r="S12" s="6"/>
      <c r="U12" s="6"/>
      <c r="W12" s="6"/>
    </row>
    <row r="13" spans="1:25" x14ac:dyDescent="0.25">
      <c r="C13" s="6"/>
      <c r="E13" s="6"/>
      <c r="G13" s="6"/>
      <c r="K13" s="6"/>
      <c r="M13" s="6"/>
      <c r="O13" s="6"/>
      <c r="Q13" s="6"/>
      <c r="S13" s="6"/>
      <c r="U13" s="6"/>
      <c r="W13" s="6"/>
    </row>
    <row r="14" spans="1:25" x14ac:dyDescent="0.25">
      <c r="C14" s="6"/>
      <c r="E14" s="6"/>
      <c r="G14" s="6"/>
      <c r="K14" s="6"/>
      <c r="M14" s="6"/>
      <c r="O14" s="6"/>
      <c r="Q14" s="6"/>
      <c r="S14" s="6"/>
      <c r="U14" s="6"/>
      <c r="W14" s="6"/>
    </row>
    <row r="15" spans="1:25" x14ac:dyDescent="0.25">
      <c r="C15" s="6"/>
      <c r="E15" s="6"/>
      <c r="G15" s="6"/>
      <c r="K15" s="6"/>
      <c r="M15" s="6"/>
      <c r="O15" s="6"/>
      <c r="S15" s="6"/>
      <c r="U15" s="6"/>
      <c r="W15" s="6"/>
    </row>
    <row r="16" spans="1:25" x14ac:dyDescent="0.25">
      <c r="C16" s="6"/>
      <c r="E16" s="6"/>
      <c r="G16" s="6"/>
      <c r="K16" s="6"/>
      <c r="M16" s="6"/>
      <c r="O16" s="6"/>
      <c r="Q16" s="6"/>
      <c r="S16" s="6"/>
      <c r="U16" s="6"/>
      <c r="W16" s="6"/>
    </row>
    <row r="17" spans="1:25" s="5" customFormat="1" x14ac:dyDescent="0.25">
      <c r="C17" s="6"/>
      <c r="E17" s="6"/>
      <c r="G17" s="6"/>
      <c r="K17" s="6"/>
      <c r="M17" s="6"/>
      <c r="O17" s="6"/>
      <c r="S17" s="6"/>
      <c r="U17" s="6"/>
      <c r="W17" s="6"/>
    </row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978</v>
      </c>
      <c r="E19" s="5">
        <f t="shared" ref="E19:W19" si="0">SUM(E8:E18)</f>
        <v>184</v>
      </c>
      <c r="G19" s="5">
        <f t="shared" si="0"/>
        <v>223</v>
      </c>
      <c r="I19" s="5">
        <f t="shared" si="0"/>
        <v>0</v>
      </c>
      <c r="K19" s="5">
        <f t="shared" si="0"/>
        <v>112</v>
      </c>
      <c r="M19" s="5">
        <f t="shared" si="0"/>
        <v>17</v>
      </c>
      <c r="O19" s="5">
        <f t="shared" si="0"/>
        <v>234</v>
      </c>
      <c r="Q19" s="5">
        <f t="shared" si="0"/>
        <v>4</v>
      </c>
      <c r="S19" s="5">
        <f t="shared" si="0"/>
        <v>40</v>
      </c>
      <c r="U19" s="5">
        <f t="shared" si="0"/>
        <v>262</v>
      </c>
      <c r="W19" s="5">
        <f t="shared" si="0"/>
        <v>49</v>
      </c>
      <c r="Y19">
        <f>SUM(Y8:Y18)</f>
        <v>131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849</v>
      </c>
    </row>
    <row r="24" spans="1:25" x14ac:dyDescent="0.25">
      <c r="K24" s="5" t="s">
        <v>17</v>
      </c>
      <c r="O24" s="9">
        <f>+C19+E19+G19</f>
        <v>1385</v>
      </c>
    </row>
    <row r="25" spans="1:25" x14ac:dyDescent="0.25">
      <c r="K25" s="5" t="s">
        <v>18</v>
      </c>
      <c r="O25" s="5">
        <f>+O23+O24</f>
        <v>2234</v>
      </c>
    </row>
    <row r="26" spans="1:25" x14ac:dyDescent="0.25">
      <c r="K26" s="6" t="s">
        <v>19</v>
      </c>
      <c r="O26" s="5">
        <v>9</v>
      </c>
    </row>
    <row r="27" spans="1:25" x14ac:dyDescent="0.25">
      <c r="K27" s="6" t="s">
        <v>20</v>
      </c>
      <c r="O27" s="9">
        <v>46</v>
      </c>
    </row>
    <row r="28" spans="1:25" x14ac:dyDescent="0.25">
      <c r="K28" s="6" t="s">
        <v>21</v>
      </c>
      <c r="O28" s="5">
        <f>+O25+O26+O27</f>
        <v>2289</v>
      </c>
    </row>
    <row r="30" spans="1:25" x14ac:dyDescent="0.25">
      <c r="K30" s="6" t="s">
        <v>22</v>
      </c>
      <c r="O30" s="5">
        <f>17+7</f>
        <v>24</v>
      </c>
    </row>
    <row r="31" spans="1:25" x14ac:dyDescent="0.25">
      <c r="K31" s="6" t="s">
        <v>76</v>
      </c>
      <c r="O31" s="5">
        <v>15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v>2</v>
      </c>
    </row>
    <row r="35" spans="1:17" x14ac:dyDescent="0.25">
      <c r="K35" s="6" t="s">
        <v>21</v>
      </c>
      <c r="O35" s="5">
        <f>+O28+O30+O31+O32+O33</f>
        <v>2330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350+500+460+50+90+25+16</f>
        <v>1491</v>
      </c>
      <c r="E43" s="5">
        <f>12+50+95+80+500+340+50+280</f>
        <v>1407</v>
      </c>
      <c r="G43" s="5">
        <f>200+220+90+70+50+11</f>
        <v>641</v>
      </c>
      <c r="I43" s="5">
        <f>250+540+160+125+25+4+25</f>
        <v>1129</v>
      </c>
      <c r="K43" s="5">
        <f>300+160+500+100+120+50+11</f>
        <v>1241</v>
      </c>
      <c r="M43" s="5">
        <f>200+500+80+160+225+50+25+25+1</f>
        <v>1266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1491</v>
      </c>
      <c r="E52" s="5">
        <f t="shared" ref="E52:Q52" si="1">SUM(E43:E51)</f>
        <v>1407</v>
      </c>
      <c r="G52" s="5">
        <f t="shared" si="1"/>
        <v>641</v>
      </c>
      <c r="I52" s="5">
        <f t="shared" si="1"/>
        <v>1129</v>
      </c>
      <c r="K52" s="5">
        <f t="shared" si="1"/>
        <v>1241</v>
      </c>
      <c r="M52" s="5">
        <f t="shared" si="1"/>
        <v>1266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580</v>
      </c>
      <c r="F53" s="5"/>
      <c r="G53" s="7">
        <v>300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1191</v>
      </c>
      <c r="E54" s="5">
        <f t="shared" ref="E54:M54" si="2">+E52-E53</f>
        <v>827</v>
      </c>
      <c r="G54" s="5">
        <f t="shared" si="2"/>
        <v>341</v>
      </c>
      <c r="I54" s="5">
        <f t="shared" si="2"/>
        <v>829</v>
      </c>
      <c r="K54" s="5">
        <f t="shared" si="2"/>
        <v>941</v>
      </c>
      <c r="M54" s="5">
        <f t="shared" si="2"/>
        <v>966</v>
      </c>
      <c r="Q54" s="5">
        <f>+C54+E54+G54+I54+K54+M54</f>
        <v>5095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1191</v>
      </c>
      <c r="E60" s="5">
        <f t="shared" ref="E60:M60" si="3">+E54+E57</f>
        <v>827</v>
      </c>
      <c r="G60" s="5">
        <f t="shared" si="3"/>
        <v>341</v>
      </c>
      <c r="I60" s="5">
        <f t="shared" si="3"/>
        <v>829</v>
      </c>
      <c r="K60" s="5">
        <f t="shared" si="3"/>
        <v>941</v>
      </c>
      <c r="M60" s="5">
        <f t="shared" si="3"/>
        <v>966</v>
      </c>
      <c r="Q60" s="5">
        <f>+Q54+Q57</f>
        <v>5095</v>
      </c>
    </row>
    <row r="63" spans="1:36" s="8" customFormat="1" ht="15.75" thickBot="1" x14ac:dyDescent="0.3">
      <c r="A63" s="5" t="s">
        <v>39</v>
      </c>
      <c r="B63" s="5"/>
      <c r="C63" s="8">
        <f>+C60</f>
        <v>1191</v>
      </c>
      <c r="E63" s="8">
        <f t="shared" ref="E63:Q63" si="4">+E60</f>
        <v>827</v>
      </c>
      <c r="G63" s="8">
        <f t="shared" si="4"/>
        <v>341</v>
      </c>
      <c r="I63" s="8">
        <f t="shared" si="4"/>
        <v>829</v>
      </c>
      <c r="K63" s="8">
        <f t="shared" si="4"/>
        <v>941</v>
      </c>
      <c r="M63" s="8">
        <f t="shared" si="4"/>
        <v>966</v>
      </c>
      <c r="O63" s="8">
        <f t="shared" si="4"/>
        <v>0</v>
      </c>
      <c r="Q63" s="8">
        <f t="shared" si="4"/>
        <v>5095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3" x14ac:dyDescent="0.25">
      <c r="A65" t="s">
        <v>40</v>
      </c>
      <c r="C65" s="5">
        <f>68+42+1301</f>
        <v>1411</v>
      </c>
      <c r="E65" s="5">
        <f>20+41+511</f>
        <v>572</v>
      </c>
      <c r="G65" s="5">
        <v>989</v>
      </c>
      <c r="I65" s="5">
        <f>20+20+790</f>
        <v>830</v>
      </c>
      <c r="K65" s="5">
        <f>82+1615</f>
        <v>1697</v>
      </c>
      <c r="M65" s="5">
        <f>65+67+1134.07</f>
        <v>1266.07</v>
      </c>
    </row>
    <row r="67" spans="1:13" x14ac:dyDescent="0.25">
      <c r="A67" t="s">
        <v>42</v>
      </c>
    </row>
    <row r="68" spans="1:13" x14ac:dyDescent="0.25">
      <c r="A68" t="s">
        <v>41</v>
      </c>
      <c r="C68" s="10">
        <f>+Q60</f>
        <v>5095</v>
      </c>
      <c r="I68" s="5" t="s">
        <v>43</v>
      </c>
      <c r="K68" s="11">
        <f>+C65+E65+G65+I65+K65+M65+C68</f>
        <v>11860.07</v>
      </c>
    </row>
  </sheetData>
  <pageMargins left="0.7" right="0.7" top="0.75" bottom="0.75" header="0.3" footer="0.3"/>
  <pageSetup scale="72" orientation="landscape" r:id="rId1"/>
  <rowBreaks count="1" manualBreakCount="1">
    <brk id="37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topLeftCell="A34" zoomScaleNormal="100" workbookViewId="0">
      <selection activeCell="M66" sqref="M66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86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1294</v>
      </c>
      <c r="E8" s="5">
        <v>227</v>
      </c>
      <c r="G8" s="5">
        <v>384</v>
      </c>
      <c r="K8" s="5">
        <v>171</v>
      </c>
      <c r="M8" s="5">
        <v>42</v>
      </c>
      <c r="O8" s="5">
        <v>175</v>
      </c>
      <c r="Q8" s="5">
        <v>12</v>
      </c>
      <c r="S8" s="5">
        <v>49</v>
      </c>
      <c r="U8" s="5">
        <v>6</v>
      </c>
      <c r="W8" s="5">
        <v>76</v>
      </c>
      <c r="Y8">
        <v>262</v>
      </c>
    </row>
    <row r="9" spans="1:25" x14ac:dyDescent="0.25">
      <c r="O9" s="5">
        <v>6</v>
      </c>
      <c r="U9" s="5">
        <v>482</v>
      </c>
      <c r="Y9">
        <v>11</v>
      </c>
    </row>
    <row r="10" spans="1:25" x14ac:dyDescent="0.25">
      <c r="U10" s="5">
        <v>30</v>
      </c>
      <c r="Y10">
        <v>37</v>
      </c>
    </row>
    <row r="11" spans="1:25" x14ac:dyDescent="0.25">
      <c r="C11" s="6"/>
      <c r="E11" s="6"/>
      <c r="G11" s="6"/>
      <c r="K11" s="6"/>
      <c r="M11" s="6"/>
      <c r="O11" s="6"/>
      <c r="Q11" s="6"/>
      <c r="S11" s="6"/>
      <c r="U11" s="6"/>
      <c r="W11" s="6"/>
      <c r="Y11">
        <v>47</v>
      </c>
    </row>
    <row r="12" spans="1:25" x14ac:dyDescent="0.25">
      <c r="C12" s="6"/>
      <c r="E12" s="6"/>
      <c r="G12" s="6"/>
      <c r="K12" s="6"/>
      <c r="M12" s="6"/>
      <c r="O12" s="6"/>
      <c r="S12" s="6"/>
      <c r="U12" s="6"/>
      <c r="W12" s="6"/>
    </row>
    <row r="13" spans="1:25" x14ac:dyDescent="0.25">
      <c r="C13" s="6"/>
      <c r="E13" s="6"/>
      <c r="G13" s="6"/>
      <c r="K13" s="6"/>
      <c r="M13" s="6"/>
      <c r="O13" s="6"/>
      <c r="Q13" s="6"/>
      <c r="S13" s="6"/>
      <c r="U13" s="6"/>
      <c r="W13" s="6"/>
    </row>
    <row r="14" spans="1:25" x14ac:dyDescent="0.25">
      <c r="C14" s="6"/>
      <c r="E14" s="6"/>
      <c r="G14" s="6"/>
      <c r="K14" s="6"/>
      <c r="M14" s="6"/>
      <c r="O14" s="6"/>
      <c r="Q14" s="6"/>
      <c r="S14" s="6"/>
      <c r="U14" s="6"/>
      <c r="W14" s="6"/>
    </row>
    <row r="15" spans="1:25" x14ac:dyDescent="0.25">
      <c r="C15" s="6"/>
      <c r="E15" s="6"/>
      <c r="G15" s="6"/>
      <c r="K15" s="6"/>
      <c r="M15" s="6"/>
      <c r="O15" s="6"/>
      <c r="S15" s="6"/>
      <c r="U15" s="6"/>
      <c r="W15" s="6"/>
    </row>
    <row r="16" spans="1:25" x14ac:dyDescent="0.25">
      <c r="C16" s="6"/>
      <c r="E16" s="6"/>
      <c r="G16" s="6"/>
      <c r="K16" s="6"/>
      <c r="M16" s="6"/>
      <c r="O16" s="6"/>
      <c r="Q16" s="6"/>
      <c r="S16" s="6"/>
      <c r="U16" s="6"/>
      <c r="W16" s="6"/>
    </row>
    <row r="17" spans="1:25" s="5" customFormat="1" x14ac:dyDescent="0.25">
      <c r="C17" s="6"/>
      <c r="E17" s="6"/>
      <c r="G17" s="6"/>
      <c r="K17" s="6"/>
      <c r="M17" s="6"/>
      <c r="O17" s="6"/>
      <c r="S17" s="6"/>
      <c r="U17" s="6"/>
      <c r="W17" s="6"/>
    </row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1294</v>
      </c>
      <c r="E19" s="5">
        <f t="shared" ref="E19:W19" si="0">SUM(E8:E18)</f>
        <v>227</v>
      </c>
      <c r="G19" s="5">
        <f t="shared" si="0"/>
        <v>384</v>
      </c>
      <c r="I19" s="5">
        <f t="shared" si="0"/>
        <v>0</v>
      </c>
      <c r="K19" s="5">
        <f t="shared" si="0"/>
        <v>171</v>
      </c>
      <c r="M19" s="5">
        <f t="shared" si="0"/>
        <v>42</v>
      </c>
      <c r="O19" s="5">
        <f t="shared" si="0"/>
        <v>181</v>
      </c>
      <c r="Q19" s="5">
        <f t="shared" si="0"/>
        <v>12</v>
      </c>
      <c r="S19" s="5">
        <f t="shared" si="0"/>
        <v>49</v>
      </c>
      <c r="U19" s="5">
        <f t="shared" si="0"/>
        <v>518</v>
      </c>
      <c r="W19" s="5">
        <f t="shared" si="0"/>
        <v>76</v>
      </c>
      <c r="Y19">
        <f>SUM(Y8:Y18)</f>
        <v>357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1406</v>
      </c>
    </row>
    <row r="24" spans="1:25" x14ac:dyDescent="0.25">
      <c r="K24" s="5" t="s">
        <v>17</v>
      </c>
      <c r="O24" s="9">
        <f>+C19+E19+G19</f>
        <v>1905</v>
      </c>
    </row>
    <row r="25" spans="1:25" x14ac:dyDescent="0.25">
      <c r="K25" s="5" t="s">
        <v>18</v>
      </c>
      <c r="O25" s="5">
        <f>+O23+O24</f>
        <v>3311</v>
      </c>
    </row>
    <row r="26" spans="1:25" x14ac:dyDescent="0.25">
      <c r="K26" s="6" t="s">
        <v>19</v>
      </c>
      <c r="O26" s="5">
        <v>10</v>
      </c>
    </row>
    <row r="27" spans="1:25" x14ac:dyDescent="0.25">
      <c r="K27" s="6" t="s">
        <v>20</v>
      </c>
      <c r="O27" s="9">
        <v>50</v>
      </c>
    </row>
    <row r="28" spans="1:25" x14ac:dyDescent="0.25">
      <c r="K28" s="6" t="s">
        <v>21</v>
      </c>
      <c r="O28" s="5">
        <f>+O25+O26+O27</f>
        <v>3371</v>
      </c>
    </row>
    <row r="30" spans="1:25" x14ac:dyDescent="0.25">
      <c r="K30" s="6" t="s">
        <v>22</v>
      </c>
      <c r="O30" s="5">
        <f>7+17+21+34+40</f>
        <v>119</v>
      </c>
    </row>
    <row r="31" spans="1:25" x14ac:dyDescent="0.25">
      <c r="K31" s="6" t="s">
        <v>76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v>6</v>
      </c>
    </row>
    <row r="35" spans="1:17" x14ac:dyDescent="0.25">
      <c r="K35" s="6" t="s">
        <v>21</v>
      </c>
      <c r="O35" s="5">
        <f>+O28+O30+O31+O32+O33</f>
        <v>3496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650+160+500+40+110+21+25</f>
        <v>1506</v>
      </c>
      <c r="E43" s="5">
        <f>540+200+280+100+260+460+90+100+130+25+14</f>
        <v>2199</v>
      </c>
      <c r="G43" s="5">
        <f>50+180+500+70+100+25+22</f>
        <v>947</v>
      </c>
      <c r="I43" s="5">
        <f>200+500+220+40+135+25+25+5+25</f>
        <v>1175</v>
      </c>
      <c r="K43" s="5">
        <f>2+350+50+500+500+220+30+55+25+25</f>
        <v>1757</v>
      </c>
      <c r="M43" s="5">
        <f>1+650+500+500+100+80+75+25+25+6</f>
        <v>1962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1506</v>
      </c>
      <c r="E52" s="5">
        <f t="shared" ref="E52:Q52" si="1">SUM(E43:E51)</f>
        <v>2199</v>
      </c>
      <c r="G52" s="5">
        <f t="shared" si="1"/>
        <v>947</v>
      </c>
      <c r="I52" s="5">
        <f t="shared" si="1"/>
        <v>1175</v>
      </c>
      <c r="K52" s="5">
        <f t="shared" si="1"/>
        <v>1757</v>
      </c>
      <c r="M52" s="5">
        <f t="shared" si="1"/>
        <v>1962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580</v>
      </c>
      <c r="F53" s="5"/>
      <c r="G53" s="7">
        <v>300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1206</v>
      </c>
      <c r="E54" s="5">
        <f t="shared" ref="E54:M54" si="2">+E52-E53</f>
        <v>1619</v>
      </c>
      <c r="G54" s="5">
        <f t="shared" si="2"/>
        <v>647</v>
      </c>
      <c r="I54" s="5">
        <f t="shared" si="2"/>
        <v>875</v>
      </c>
      <c r="K54" s="5">
        <f t="shared" si="2"/>
        <v>1457</v>
      </c>
      <c r="M54" s="5">
        <f t="shared" si="2"/>
        <v>1662</v>
      </c>
      <c r="Q54" s="5">
        <f>+C54+E54+G54+I54+K54+M54</f>
        <v>7466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1206</v>
      </c>
      <c r="E60" s="5">
        <f t="shared" ref="E60:M60" si="3">+E54+E57</f>
        <v>1619</v>
      </c>
      <c r="G60" s="5">
        <f t="shared" si="3"/>
        <v>647</v>
      </c>
      <c r="I60" s="5">
        <f t="shared" si="3"/>
        <v>875</v>
      </c>
      <c r="K60" s="5">
        <f t="shared" si="3"/>
        <v>1457</v>
      </c>
      <c r="M60" s="5">
        <f t="shared" si="3"/>
        <v>1662</v>
      </c>
      <c r="Q60" s="5">
        <f>+Q54+Q57</f>
        <v>7466</v>
      </c>
    </row>
    <row r="63" spans="1:36" s="8" customFormat="1" ht="15.75" thickBot="1" x14ac:dyDescent="0.3">
      <c r="A63" s="5" t="s">
        <v>39</v>
      </c>
      <c r="B63" s="5"/>
      <c r="C63" s="8">
        <f>+C60</f>
        <v>1206</v>
      </c>
      <c r="E63" s="8">
        <f t="shared" ref="E63:Q63" si="4">+E60</f>
        <v>1619</v>
      </c>
      <c r="G63" s="8">
        <f t="shared" si="4"/>
        <v>647</v>
      </c>
      <c r="I63" s="8">
        <f t="shared" si="4"/>
        <v>875</v>
      </c>
      <c r="K63" s="8">
        <f t="shared" si="4"/>
        <v>1457</v>
      </c>
      <c r="M63" s="8">
        <f t="shared" si="4"/>
        <v>1662</v>
      </c>
      <c r="O63" s="8">
        <f t="shared" si="4"/>
        <v>0</v>
      </c>
      <c r="Q63" s="8">
        <f t="shared" si="4"/>
        <v>7466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3" x14ac:dyDescent="0.25">
      <c r="A65" t="s">
        <v>40</v>
      </c>
      <c r="C65" s="5">
        <f>60+86+878</f>
        <v>1024</v>
      </c>
      <c r="E65" s="5">
        <f>61+123+1165</f>
        <v>1349</v>
      </c>
      <c r="G65" s="5">
        <f>44+1325</f>
        <v>1369</v>
      </c>
      <c r="I65" s="5">
        <f>10+1115</f>
        <v>1125</v>
      </c>
      <c r="K65" s="5">
        <f>95+1826</f>
        <v>1921</v>
      </c>
      <c r="M65" s="5">
        <v>1915</v>
      </c>
    </row>
    <row r="67" spans="1:13" x14ac:dyDescent="0.25">
      <c r="A67" t="s">
        <v>42</v>
      </c>
    </row>
    <row r="68" spans="1:13" x14ac:dyDescent="0.25">
      <c r="A68" t="s">
        <v>41</v>
      </c>
      <c r="C68" s="10">
        <f>+Q60</f>
        <v>7466</v>
      </c>
      <c r="I68" s="5" t="s">
        <v>43</v>
      </c>
      <c r="K68" s="11">
        <f>+C65+E65+G65+I65+K65+M65+C68</f>
        <v>16169</v>
      </c>
    </row>
  </sheetData>
  <pageMargins left="0.7" right="0.7" top="0.75" bottom="0.75" header="0.3" footer="0.3"/>
  <pageSetup scale="72" orientation="landscape" r:id="rId1"/>
  <rowBreaks count="1" manualBreakCount="1">
    <brk id="37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zoomScaleNormal="100" workbookViewId="0">
      <selection activeCell="O28" sqref="O28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88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1831</v>
      </c>
      <c r="E8" s="5">
        <v>217</v>
      </c>
      <c r="G8" s="5">
        <v>619</v>
      </c>
      <c r="K8" s="5">
        <v>251</v>
      </c>
      <c r="M8" s="5">
        <v>80</v>
      </c>
      <c r="O8" s="5">
        <v>331</v>
      </c>
      <c r="Q8" s="5">
        <v>13</v>
      </c>
      <c r="S8" s="5">
        <v>52</v>
      </c>
      <c r="U8" s="5">
        <v>700</v>
      </c>
      <c r="W8" s="5">
        <v>91</v>
      </c>
      <c r="Y8">
        <v>253</v>
      </c>
    </row>
    <row r="9" spans="1:25" x14ac:dyDescent="0.25">
      <c r="O9" s="5">
        <v>14</v>
      </c>
      <c r="S9" s="5">
        <v>8</v>
      </c>
      <c r="Y9">
        <v>14</v>
      </c>
    </row>
    <row r="10" spans="1:25" x14ac:dyDescent="0.25">
      <c r="Y10">
        <v>67</v>
      </c>
    </row>
    <row r="11" spans="1:25" x14ac:dyDescent="0.25">
      <c r="C11" s="6"/>
      <c r="E11" s="6"/>
      <c r="G11" s="6"/>
      <c r="K11" s="6"/>
      <c r="M11" s="6"/>
      <c r="O11" s="6"/>
      <c r="Q11" s="6"/>
      <c r="S11" s="6"/>
      <c r="U11" s="6"/>
      <c r="W11" s="6"/>
    </row>
    <row r="12" spans="1:25" x14ac:dyDescent="0.25">
      <c r="C12" s="6"/>
      <c r="E12" s="6"/>
      <c r="G12" s="6"/>
      <c r="K12" s="6"/>
      <c r="M12" s="6"/>
      <c r="O12" s="6"/>
      <c r="S12" s="6"/>
      <c r="U12" s="6"/>
      <c r="W12" s="6"/>
    </row>
    <row r="13" spans="1:25" x14ac:dyDescent="0.25">
      <c r="C13" s="6"/>
      <c r="E13" s="6"/>
      <c r="G13" s="6"/>
      <c r="K13" s="6"/>
      <c r="M13" s="6"/>
      <c r="O13" s="6"/>
      <c r="Q13" s="6"/>
      <c r="S13" s="6"/>
      <c r="U13" s="6"/>
      <c r="W13" s="6"/>
    </row>
    <row r="14" spans="1:25" x14ac:dyDescent="0.25">
      <c r="C14" s="6"/>
      <c r="E14" s="6"/>
      <c r="G14" s="6"/>
      <c r="K14" s="6"/>
      <c r="M14" s="6"/>
      <c r="O14" s="6"/>
      <c r="Q14" s="6"/>
      <c r="S14" s="6"/>
      <c r="U14" s="6"/>
      <c r="W14" s="6"/>
    </row>
    <row r="15" spans="1:25" x14ac:dyDescent="0.25">
      <c r="C15" s="6"/>
      <c r="E15" s="6"/>
      <c r="G15" s="6"/>
      <c r="K15" s="6"/>
      <c r="M15" s="6"/>
      <c r="O15" s="6"/>
      <c r="S15" s="6"/>
      <c r="U15" s="6"/>
      <c r="W15" s="6"/>
    </row>
    <row r="16" spans="1:25" x14ac:dyDescent="0.25">
      <c r="C16" s="6"/>
      <c r="E16" s="6"/>
      <c r="G16" s="6"/>
      <c r="K16" s="6"/>
      <c r="M16" s="6"/>
      <c r="O16" s="6"/>
      <c r="Q16" s="6"/>
      <c r="S16" s="6"/>
      <c r="U16" s="6"/>
      <c r="W16" s="6"/>
    </row>
    <row r="17" spans="1:25" s="5" customFormat="1" x14ac:dyDescent="0.25">
      <c r="C17" s="6"/>
      <c r="E17" s="6"/>
      <c r="G17" s="6"/>
      <c r="K17" s="6"/>
      <c r="M17" s="6"/>
      <c r="O17" s="6"/>
      <c r="S17" s="6"/>
      <c r="U17" s="6"/>
      <c r="W17" s="6"/>
    </row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1831</v>
      </c>
      <c r="E19" s="5">
        <f t="shared" ref="E19:W19" si="0">SUM(E8:E18)</f>
        <v>217</v>
      </c>
      <c r="G19" s="5">
        <f t="shared" si="0"/>
        <v>619</v>
      </c>
      <c r="I19" s="5">
        <f t="shared" si="0"/>
        <v>0</v>
      </c>
      <c r="K19" s="5">
        <f t="shared" si="0"/>
        <v>251</v>
      </c>
      <c r="M19" s="5">
        <f t="shared" si="0"/>
        <v>80</v>
      </c>
      <c r="O19" s="5">
        <f t="shared" si="0"/>
        <v>345</v>
      </c>
      <c r="Q19" s="5">
        <f t="shared" si="0"/>
        <v>13</v>
      </c>
      <c r="S19" s="5">
        <f t="shared" si="0"/>
        <v>60</v>
      </c>
      <c r="U19" s="5">
        <f t="shared" si="0"/>
        <v>700</v>
      </c>
      <c r="W19" s="5">
        <f t="shared" si="0"/>
        <v>91</v>
      </c>
      <c r="Y19">
        <f>SUM(Y8:Y18)</f>
        <v>334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1874</v>
      </c>
    </row>
    <row r="24" spans="1:25" x14ac:dyDescent="0.25">
      <c r="K24" s="5" t="s">
        <v>17</v>
      </c>
      <c r="O24" s="9">
        <f>+C19+E19+G19</f>
        <v>2667</v>
      </c>
    </row>
    <row r="25" spans="1:25" x14ac:dyDescent="0.25">
      <c r="K25" s="5" t="s">
        <v>18</v>
      </c>
      <c r="O25" s="5">
        <f>+O23+O24</f>
        <v>4541</v>
      </c>
    </row>
    <row r="26" spans="1:25" x14ac:dyDescent="0.25">
      <c r="K26" s="6" t="s">
        <v>19</v>
      </c>
      <c r="O26" s="5">
        <v>9</v>
      </c>
    </row>
    <row r="27" spans="1:25" x14ac:dyDescent="0.25">
      <c r="K27" s="6" t="s">
        <v>20</v>
      </c>
      <c r="O27" s="9">
        <v>46</v>
      </c>
    </row>
    <row r="28" spans="1:25" x14ac:dyDescent="0.25">
      <c r="K28" s="6" t="s">
        <v>21</v>
      </c>
      <c r="O28" s="5">
        <f>+O25+O26+O27</f>
        <v>4596</v>
      </c>
    </row>
    <row r="30" spans="1:25" x14ac:dyDescent="0.25">
      <c r="K30" s="6" t="s">
        <v>22</v>
      </c>
    </row>
    <row r="31" spans="1:25" x14ac:dyDescent="0.25">
      <c r="K31" s="6" t="s">
        <v>76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v>20</v>
      </c>
    </row>
    <row r="35" spans="1:17" x14ac:dyDescent="0.25">
      <c r="K35" s="6" t="s">
        <v>21</v>
      </c>
      <c r="O35" s="5">
        <f>+O28+O30+O31+O32+O33</f>
        <v>4616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90+25+5+120+50+500+500+500+240</f>
        <v>2030</v>
      </c>
      <c r="E43" s="5">
        <f>360+500+500+150+100+50+10+280</f>
        <v>1950</v>
      </c>
      <c r="G43" s="5">
        <f>100+180+500+500+50+100+50+14</f>
        <v>1494</v>
      </c>
      <c r="I43" s="5">
        <f>350+500+500+250+155+25+19</f>
        <v>1799</v>
      </c>
      <c r="K43" s="5">
        <f>950+340+500+500+500+500+70+95+25+8</f>
        <v>3488</v>
      </c>
      <c r="M43" s="5">
        <f>750+710+140+50+8+50+140</f>
        <v>1848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2030</v>
      </c>
      <c r="E52" s="5">
        <f t="shared" ref="E52:Q52" si="1">SUM(E43:E51)</f>
        <v>1950</v>
      </c>
      <c r="G52" s="5">
        <f t="shared" si="1"/>
        <v>1494</v>
      </c>
      <c r="I52" s="5">
        <f t="shared" si="1"/>
        <v>1799</v>
      </c>
      <c r="K52" s="5">
        <f t="shared" si="1"/>
        <v>3488</v>
      </c>
      <c r="M52" s="5">
        <f t="shared" si="1"/>
        <v>1848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580</v>
      </c>
      <c r="F53" s="5"/>
      <c r="G53" s="7">
        <v>300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1730</v>
      </c>
      <c r="E54" s="5">
        <f t="shared" ref="E54:M54" si="2">+E52-E53</f>
        <v>1370</v>
      </c>
      <c r="G54" s="5">
        <f t="shared" si="2"/>
        <v>1194</v>
      </c>
      <c r="I54" s="5">
        <f t="shared" si="2"/>
        <v>1499</v>
      </c>
      <c r="K54" s="5">
        <f t="shared" si="2"/>
        <v>3188</v>
      </c>
      <c r="M54" s="5">
        <f t="shared" si="2"/>
        <v>1548</v>
      </c>
      <c r="Q54" s="5">
        <f>+C54+E54+G54+I54+K54+M54</f>
        <v>10529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1730</v>
      </c>
      <c r="E60" s="5">
        <f t="shared" ref="E60:M60" si="3">+E54+E57</f>
        <v>1370</v>
      </c>
      <c r="G60" s="5">
        <f t="shared" si="3"/>
        <v>1194</v>
      </c>
      <c r="I60" s="5">
        <f t="shared" si="3"/>
        <v>1499</v>
      </c>
      <c r="K60" s="5">
        <f t="shared" si="3"/>
        <v>3188</v>
      </c>
      <c r="M60" s="5">
        <f t="shared" si="3"/>
        <v>1548</v>
      </c>
      <c r="Q60" s="5">
        <f>+Q54+Q57</f>
        <v>10529</v>
      </c>
    </row>
    <row r="63" spans="1:36" s="8" customFormat="1" ht="15.75" thickBot="1" x14ac:dyDescent="0.3">
      <c r="A63" s="5" t="s">
        <v>39</v>
      </c>
      <c r="B63" s="5"/>
      <c r="C63" s="8">
        <f>+C60</f>
        <v>1730</v>
      </c>
      <c r="E63" s="8">
        <f t="shared" ref="E63:Q63" si="4">+E60</f>
        <v>1370</v>
      </c>
      <c r="G63" s="8">
        <f t="shared" si="4"/>
        <v>1194</v>
      </c>
      <c r="I63" s="8">
        <f t="shared" si="4"/>
        <v>1499</v>
      </c>
      <c r="K63" s="8">
        <f t="shared" si="4"/>
        <v>3188</v>
      </c>
      <c r="M63" s="8">
        <f t="shared" si="4"/>
        <v>1548</v>
      </c>
      <c r="O63" s="8">
        <f t="shared" si="4"/>
        <v>0</v>
      </c>
      <c r="Q63" s="8">
        <f t="shared" si="4"/>
        <v>10529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3" x14ac:dyDescent="0.25">
      <c r="A65" t="s">
        <v>40</v>
      </c>
      <c r="C65" s="5">
        <f>34+101+1962</f>
        <v>2097</v>
      </c>
      <c r="E65" s="5">
        <f>20+34+2425</f>
        <v>2479</v>
      </c>
      <c r="G65" s="5">
        <f>83+10+2284</f>
        <v>2377</v>
      </c>
      <c r="I65" s="5">
        <f>251+1737</f>
        <v>1988</v>
      </c>
      <c r="K65" s="5">
        <f>42+20+1276</f>
        <v>1338</v>
      </c>
      <c r="M65" s="5">
        <f>55+2320</f>
        <v>2375</v>
      </c>
    </row>
    <row r="67" spans="1:13" x14ac:dyDescent="0.25">
      <c r="A67" t="s">
        <v>42</v>
      </c>
    </row>
    <row r="68" spans="1:13" x14ac:dyDescent="0.25">
      <c r="A68" t="s">
        <v>41</v>
      </c>
      <c r="C68" s="10">
        <f>+Q60</f>
        <v>10529</v>
      </c>
      <c r="I68" s="5" t="s">
        <v>43</v>
      </c>
      <c r="K68" s="11">
        <f>+C65+E65+G65+I65+K65+M65+C68</f>
        <v>23183</v>
      </c>
    </row>
  </sheetData>
  <pageMargins left="0.7" right="0.7" top="0.75" bottom="0.75" header="0.3" footer="0.3"/>
  <pageSetup scale="72" orientation="landscape" r:id="rId1"/>
  <rowBreaks count="1" manualBreakCount="1">
    <brk id="37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zoomScaleNormal="100" workbookViewId="0">
      <selection activeCell="H31" sqref="H31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87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200</v>
      </c>
      <c r="E8" s="5">
        <v>70</v>
      </c>
      <c r="G8" s="5">
        <v>110</v>
      </c>
      <c r="K8" s="5">
        <v>138</v>
      </c>
      <c r="M8" s="5">
        <v>32</v>
      </c>
      <c r="O8" s="5">
        <v>171</v>
      </c>
      <c r="Q8" s="5">
        <v>5</v>
      </c>
      <c r="S8" s="5">
        <v>40</v>
      </c>
      <c r="U8" s="5">
        <v>193</v>
      </c>
      <c r="W8" s="5">
        <v>91</v>
      </c>
      <c r="Y8">
        <f>28+6</f>
        <v>34</v>
      </c>
    </row>
    <row r="9" spans="1:25" x14ac:dyDescent="0.25">
      <c r="C9" s="5">
        <v>200</v>
      </c>
      <c r="E9" s="5">
        <v>105</v>
      </c>
      <c r="G9" s="5">
        <v>200</v>
      </c>
      <c r="O9" s="5">
        <v>7</v>
      </c>
      <c r="S9" s="5">
        <v>7</v>
      </c>
      <c r="U9" s="5">
        <v>201</v>
      </c>
      <c r="Y9">
        <v>84</v>
      </c>
    </row>
    <row r="10" spans="1:25" x14ac:dyDescent="0.25">
      <c r="C10" s="5">
        <v>120</v>
      </c>
      <c r="O10" s="5">
        <v>28</v>
      </c>
      <c r="Y10">
        <v>322</v>
      </c>
    </row>
    <row r="11" spans="1:25" x14ac:dyDescent="0.25">
      <c r="C11" s="6">
        <v>200</v>
      </c>
      <c r="E11" s="6"/>
      <c r="G11" s="6"/>
      <c r="K11" s="6"/>
      <c r="M11" s="6"/>
      <c r="O11" s="6"/>
      <c r="Q11" s="6"/>
      <c r="S11" s="6"/>
      <c r="U11" s="6"/>
      <c r="W11" s="6"/>
    </row>
    <row r="12" spans="1:25" x14ac:dyDescent="0.25">
      <c r="C12" s="6">
        <v>200</v>
      </c>
      <c r="E12" s="6"/>
      <c r="G12" s="6"/>
      <c r="K12" s="6"/>
      <c r="M12" s="6"/>
      <c r="O12" s="6"/>
      <c r="S12" s="6"/>
      <c r="U12" s="6"/>
      <c r="W12" s="6"/>
    </row>
    <row r="13" spans="1:25" x14ac:dyDescent="0.25">
      <c r="C13" s="6">
        <v>200</v>
      </c>
      <c r="E13" s="6"/>
      <c r="G13" s="6"/>
      <c r="K13" s="6"/>
      <c r="M13" s="6"/>
      <c r="O13" s="6"/>
      <c r="Q13" s="6"/>
      <c r="S13" s="6"/>
      <c r="U13" s="6"/>
      <c r="W13" s="6"/>
    </row>
    <row r="14" spans="1:25" x14ac:dyDescent="0.25">
      <c r="C14" s="6"/>
      <c r="E14" s="6"/>
      <c r="G14" s="6"/>
      <c r="K14" s="6"/>
      <c r="M14" s="6"/>
      <c r="O14" s="6"/>
      <c r="Q14" s="6"/>
      <c r="S14" s="6"/>
      <c r="U14" s="6"/>
      <c r="W14" s="6"/>
    </row>
    <row r="15" spans="1:25" x14ac:dyDescent="0.25">
      <c r="C15" s="6"/>
      <c r="E15" s="6"/>
      <c r="G15" s="6"/>
      <c r="K15" s="6"/>
      <c r="M15" s="6"/>
      <c r="O15" s="6"/>
      <c r="S15" s="6"/>
      <c r="U15" s="6"/>
      <c r="W15" s="6"/>
    </row>
    <row r="16" spans="1:25" x14ac:dyDescent="0.25">
      <c r="C16" s="6"/>
      <c r="E16" s="6"/>
      <c r="G16" s="6"/>
      <c r="K16" s="6"/>
      <c r="M16" s="6"/>
      <c r="O16" s="6"/>
      <c r="Q16" s="6"/>
      <c r="S16" s="6"/>
      <c r="U16" s="6"/>
      <c r="W16" s="6"/>
    </row>
    <row r="17" spans="1:25" s="5" customFormat="1" x14ac:dyDescent="0.25">
      <c r="C17" s="6"/>
      <c r="E17" s="6"/>
      <c r="G17" s="6"/>
      <c r="K17" s="6"/>
      <c r="M17" s="6"/>
      <c r="O17" s="6"/>
      <c r="S17" s="6"/>
      <c r="U17" s="6"/>
      <c r="W17" s="6"/>
    </row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1120</v>
      </c>
      <c r="E19" s="5">
        <f t="shared" ref="E19:W19" si="0">SUM(E8:E18)</f>
        <v>175</v>
      </c>
      <c r="G19" s="5">
        <f t="shared" si="0"/>
        <v>310</v>
      </c>
      <c r="I19" s="5">
        <f t="shared" si="0"/>
        <v>0</v>
      </c>
      <c r="K19" s="5">
        <f t="shared" si="0"/>
        <v>138</v>
      </c>
      <c r="M19" s="5">
        <f t="shared" si="0"/>
        <v>32</v>
      </c>
      <c r="O19" s="5">
        <f t="shared" si="0"/>
        <v>206</v>
      </c>
      <c r="Q19" s="5">
        <f t="shared" si="0"/>
        <v>5</v>
      </c>
      <c r="S19" s="5">
        <f t="shared" si="0"/>
        <v>47</v>
      </c>
      <c r="U19" s="5">
        <f t="shared" si="0"/>
        <v>394</v>
      </c>
      <c r="W19" s="5">
        <f t="shared" si="0"/>
        <v>91</v>
      </c>
      <c r="Y19">
        <f>SUM(Y8:Y18)</f>
        <v>440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1353</v>
      </c>
    </row>
    <row r="24" spans="1:25" x14ac:dyDescent="0.25">
      <c r="K24" s="5" t="s">
        <v>17</v>
      </c>
      <c r="O24" s="9">
        <f>+C19+E19+G19</f>
        <v>1605</v>
      </c>
    </row>
    <row r="25" spans="1:25" x14ac:dyDescent="0.25">
      <c r="K25" s="5" t="s">
        <v>18</v>
      </c>
      <c r="O25" s="5">
        <f>+O23+O24</f>
        <v>2958</v>
      </c>
    </row>
    <row r="26" spans="1:25" x14ac:dyDescent="0.25">
      <c r="K26" s="6" t="s">
        <v>19</v>
      </c>
      <c r="O26" s="5">
        <v>11</v>
      </c>
    </row>
    <row r="27" spans="1:25" x14ac:dyDescent="0.25">
      <c r="K27" s="6" t="s">
        <v>20</v>
      </c>
      <c r="O27" s="9">
        <v>50</v>
      </c>
    </row>
    <row r="28" spans="1:25" x14ac:dyDescent="0.25">
      <c r="K28" s="6" t="s">
        <v>21</v>
      </c>
      <c r="O28" s="5">
        <f>+O25+O26+O27</f>
        <v>3019</v>
      </c>
    </row>
    <row r="30" spans="1:25" x14ac:dyDescent="0.25">
      <c r="K30" s="6" t="s">
        <v>22</v>
      </c>
      <c r="O30" s="5">
        <v>8</v>
      </c>
    </row>
    <row r="31" spans="1:25" x14ac:dyDescent="0.25">
      <c r="K31" s="6" t="s">
        <v>76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v>10</v>
      </c>
    </row>
    <row r="35" spans="1:17" x14ac:dyDescent="0.25">
      <c r="K35" s="6" t="s">
        <v>21</v>
      </c>
      <c r="O35" s="5">
        <f>+O28+O30+O31+O32+O33</f>
        <v>3037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300+500+420+40+140+25+22</f>
        <v>1447</v>
      </c>
      <c r="E43" s="5">
        <f>600+500+360+90+70+50+20+280</f>
        <v>1970</v>
      </c>
      <c r="G43" s="5">
        <f>300+500+40+110+90+25+21</f>
        <v>1086</v>
      </c>
      <c r="I43" s="5">
        <f>200+500+380+70+60+50+4</f>
        <v>1264</v>
      </c>
      <c r="K43" s="5">
        <f>650+420+80+120+50+15</f>
        <v>1335</v>
      </c>
      <c r="M43" s="5">
        <f>500+500+300+80+85+50+11</f>
        <v>1526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1447</v>
      </c>
      <c r="E52" s="5">
        <f t="shared" ref="E52:Q52" si="1">SUM(E43:E51)</f>
        <v>1970</v>
      </c>
      <c r="G52" s="5">
        <f t="shared" si="1"/>
        <v>1086</v>
      </c>
      <c r="I52" s="5">
        <f t="shared" si="1"/>
        <v>1264</v>
      </c>
      <c r="K52" s="5">
        <f t="shared" si="1"/>
        <v>1335</v>
      </c>
      <c r="M52" s="5">
        <f t="shared" si="1"/>
        <v>1526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580</v>
      </c>
      <c r="F53" s="5"/>
      <c r="G53" s="7">
        <v>300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1147</v>
      </c>
      <c r="E54" s="5">
        <f t="shared" ref="E54:M54" si="2">+E52-E53</f>
        <v>1390</v>
      </c>
      <c r="G54" s="5">
        <f t="shared" si="2"/>
        <v>786</v>
      </c>
      <c r="I54" s="5">
        <f t="shared" si="2"/>
        <v>964</v>
      </c>
      <c r="K54" s="5">
        <f t="shared" si="2"/>
        <v>1035</v>
      </c>
      <c r="M54" s="5">
        <f t="shared" si="2"/>
        <v>1226</v>
      </c>
      <c r="Q54" s="5">
        <f>+C54+E54+G54+I54+K54+M54</f>
        <v>6548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1147</v>
      </c>
      <c r="E60" s="5">
        <f t="shared" ref="E60:M60" si="3">+E54+E57</f>
        <v>1390</v>
      </c>
      <c r="G60" s="5">
        <f t="shared" si="3"/>
        <v>786</v>
      </c>
      <c r="I60" s="5">
        <f t="shared" si="3"/>
        <v>964</v>
      </c>
      <c r="K60" s="5">
        <f t="shared" si="3"/>
        <v>1035</v>
      </c>
      <c r="M60" s="5">
        <f t="shared" si="3"/>
        <v>1226</v>
      </c>
      <c r="Q60" s="5">
        <f>+Q54+Q57</f>
        <v>6548</v>
      </c>
    </row>
    <row r="63" spans="1:36" s="8" customFormat="1" ht="15.75" thickBot="1" x14ac:dyDescent="0.3">
      <c r="A63" s="5" t="s">
        <v>39</v>
      </c>
      <c r="B63" s="5"/>
      <c r="C63" s="8">
        <f>+C60</f>
        <v>1147</v>
      </c>
      <c r="E63" s="8">
        <f t="shared" ref="E63:Q63" si="4">+E60</f>
        <v>1390</v>
      </c>
      <c r="G63" s="8">
        <f t="shared" si="4"/>
        <v>786</v>
      </c>
      <c r="I63" s="8">
        <f t="shared" si="4"/>
        <v>964</v>
      </c>
      <c r="K63" s="8">
        <f t="shared" si="4"/>
        <v>1035</v>
      </c>
      <c r="M63" s="8">
        <f t="shared" si="4"/>
        <v>1226</v>
      </c>
      <c r="O63" s="8">
        <f t="shared" si="4"/>
        <v>0</v>
      </c>
      <c r="Q63" s="8">
        <f t="shared" si="4"/>
        <v>6548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3" x14ac:dyDescent="0.25">
      <c r="A65" t="s">
        <v>40</v>
      </c>
      <c r="C65" s="5">
        <f>104+1626</f>
        <v>1730</v>
      </c>
      <c r="E65" s="5">
        <f>14+1515</f>
        <v>1529</v>
      </c>
      <c r="G65" s="5">
        <f>110+1118</f>
        <v>1228</v>
      </c>
      <c r="I65" s="5">
        <f>37+80+853</f>
        <v>970</v>
      </c>
      <c r="K65" s="5">
        <f>35+946</f>
        <v>981</v>
      </c>
      <c r="M65" s="5">
        <f>10+1165</f>
        <v>1175</v>
      </c>
    </row>
    <row r="67" spans="1:13" x14ac:dyDescent="0.25">
      <c r="A67" t="s">
        <v>42</v>
      </c>
    </row>
    <row r="68" spans="1:13" x14ac:dyDescent="0.25">
      <c r="A68" t="s">
        <v>41</v>
      </c>
      <c r="C68" s="10">
        <f>+Q60</f>
        <v>6548</v>
      </c>
      <c r="I68" s="5" t="s">
        <v>43</v>
      </c>
      <c r="K68" s="11">
        <f>+C65+E65+G65+I65+K65+M65+C68</f>
        <v>14161</v>
      </c>
    </row>
  </sheetData>
  <pageMargins left="0.7" right="0.7" top="0.75" bottom="0.75" header="0.3" footer="0.3"/>
  <pageSetup scale="72" orientation="landscape" r:id="rId1"/>
  <rowBreaks count="1" manualBreakCount="1">
    <brk id="38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zoomScaleNormal="100" workbookViewId="0">
      <selection activeCell="G30" sqref="G30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89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81</v>
      </c>
      <c r="E8" s="5">
        <v>33</v>
      </c>
      <c r="G8" s="5">
        <v>28</v>
      </c>
      <c r="K8" s="5">
        <v>30</v>
      </c>
      <c r="M8" s="5">
        <v>11</v>
      </c>
      <c r="O8" s="5">
        <v>16</v>
      </c>
      <c r="S8" s="5">
        <v>1</v>
      </c>
      <c r="U8" s="5">
        <v>34</v>
      </c>
      <c r="W8" s="5">
        <v>15</v>
      </c>
      <c r="Y8">
        <v>19</v>
      </c>
    </row>
    <row r="9" spans="1:25" x14ac:dyDescent="0.25">
      <c r="C9" s="5">
        <v>78</v>
      </c>
      <c r="E9" s="5">
        <v>32</v>
      </c>
      <c r="G9" s="5">
        <v>29</v>
      </c>
      <c r="K9" s="5">
        <v>5</v>
      </c>
      <c r="M9" s="5">
        <v>3</v>
      </c>
      <c r="O9" s="5">
        <v>2</v>
      </c>
      <c r="U9" s="5">
        <v>11</v>
      </c>
      <c r="W9" s="5">
        <v>7</v>
      </c>
      <c r="Y9">
        <v>21</v>
      </c>
    </row>
    <row r="10" spans="1:25" x14ac:dyDescent="0.25">
      <c r="C10" s="5">
        <v>153</v>
      </c>
      <c r="E10" s="5">
        <v>7</v>
      </c>
      <c r="G10" s="5">
        <v>52</v>
      </c>
      <c r="K10" s="5">
        <v>28</v>
      </c>
      <c r="M10" s="5">
        <v>2</v>
      </c>
      <c r="O10" s="5">
        <v>24</v>
      </c>
      <c r="S10" s="5">
        <v>11</v>
      </c>
      <c r="U10" s="5">
        <v>50</v>
      </c>
      <c r="Y10">
        <v>22</v>
      </c>
    </row>
    <row r="11" spans="1:25" x14ac:dyDescent="0.25">
      <c r="C11" s="6">
        <v>201</v>
      </c>
      <c r="E11" s="6">
        <v>6</v>
      </c>
      <c r="G11" s="6">
        <v>49</v>
      </c>
      <c r="K11" s="6">
        <v>22</v>
      </c>
      <c r="M11" s="6">
        <v>3</v>
      </c>
      <c r="O11" s="6">
        <v>31</v>
      </c>
      <c r="Q11" s="6"/>
      <c r="S11" s="6">
        <v>2</v>
      </c>
      <c r="U11" s="6">
        <v>23</v>
      </c>
      <c r="W11" s="6">
        <v>9</v>
      </c>
      <c r="Y11">
        <v>52</v>
      </c>
    </row>
    <row r="12" spans="1:25" x14ac:dyDescent="0.25">
      <c r="C12" s="6">
        <v>176</v>
      </c>
      <c r="E12" s="6">
        <v>27</v>
      </c>
      <c r="G12" s="6">
        <v>46</v>
      </c>
      <c r="K12" s="6">
        <v>39</v>
      </c>
      <c r="M12" s="6">
        <v>5</v>
      </c>
      <c r="O12" s="6">
        <v>24</v>
      </c>
      <c r="S12" s="6">
        <v>3</v>
      </c>
      <c r="U12" s="6">
        <v>18</v>
      </c>
      <c r="W12" s="6">
        <v>11</v>
      </c>
      <c r="Y12">
        <v>29</v>
      </c>
    </row>
    <row r="13" spans="1:25" x14ac:dyDescent="0.25">
      <c r="C13" s="6">
        <v>149</v>
      </c>
      <c r="E13" s="6">
        <v>18</v>
      </c>
      <c r="G13" s="6">
        <v>34</v>
      </c>
      <c r="K13" s="6">
        <v>19</v>
      </c>
      <c r="M13" s="6">
        <v>1</v>
      </c>
      <c r="O13" s="6">
        <v>24</v>
      </c>
      <c r="Q13" s="6"/>
      <c r="S13" s="6"/>
      <c r="U13" s="6">
        <v>23</v>
      </c>
      <c r="W13" s="6">
        <v>4</v>
      </c>
      <c r="Y13">
        <v>24</v>
      </c>
    </row>
    <row r="14" spans="1:25" x14ac:dyDescent="0.25">
      <c r="C14" s="6">
        <v>97</v>
      </c>
      <c r="E14" s="6">
        <v>11</v>
      </c>
      <c r="G14" s="6">
        <v>26</v>
      </c>
      <c r="K14" s="6">
        <v>2</v>
      </c>
      <c r="M14" s="6"/>
      <c r="O14" s="6">
        <v>21</v>
      </c>
      <c r="Q14" s="6"/>
      <c r="S14" s="6">
        <v>2</v>
      </c>
      <c r="U14" s="6">
        <v>13</v>
      </c>
      <c r="W14" s="6"/>
      <c r="Y14">
        <v>26</v>
      </c>
    </row>
    <row r="15" spans="1:25" x14ac:dyDescent="0.25">
      <c r="C15" s="6">
        <v>147</v>
      </c>
      <c r="E15" s="6">
        <v>18</v>
      </c>
      <c r="G15" s="6">
        <v>46</v>
      </c>
      <c r="K15" s="6">
        <v>18</v>
      </c>
      <c r="M15" s="6">
        <v>4</v>
      </c>
      <c r="O15" s="6">
        <v>22</v>
      </c>
      <c r="S15" s="6">
        <v>5</v>
      </c>
      <c r="U15" s="6">
        <v>36</v>
      </c>
      <c r="W15" s="6">
        <v>9</v>
      </c>
      <c r="Y15">
        <v>68</v>
      </c>
    </row>
    <row r="16" spans="1:25" x14ac:dyDescent="0.25">
      <c r="C16" s="6">
        <v>110</v>
      </c>
      <c r="E16" s="6">
        <v>10</v>
      </c>
      <c r="G16" s="6">
        <v>15</v>
      </c>
      <c r="K16" s="6">
        <v>3</v>
      </c>
      <c r="M16" s="6"/>
      <c r="O16" s="6">
        <v>4</v>
      </c>
      <c r="Q16" s="6"/>
      <c r="S16" s="6">
        <v>2</v>
      </c>
      <c r="U16" s="6">
        <v>14</v>
      </c>
      <c r="W16" s="6"/>
      <c r="Y16">
        <v>62</v>
      </c>
    </row>
    <row r="17" spans="1:25" s="5" customFormat="1" x14ac:dyDescent="0.25">
      <c r="C17" s="6"/>
      <c r="E17" s="6"/>
      <c r="G17" s="6"/>
      <c r="K17" s="6"/>
      <c r="M17" s="6"/>
      <c r="O17" s="6"/>
      <c r="S17" s="6"/>
      <c r="U17" s="6"/>
      <c r="W17" s="6"/>
      <c r="Y17" s="5">
        <v>6</v>
      </c>
    </row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1192</v>
      </c>
      <c r="E19" s="5">
        <f t="shared" ref="E19:W19" si="0">SUM(E8:E18)</f>
        <v>162</v>
      </c>
      <c r="G19" s="5">
        <f t="shared" si="0"/>
        <v>325</v>
      </c>
      <c r="I19" s="5">
        <f t="shared" si="0"/>
        <v>0</v>
      </c>
      <c r="K19" s="5">
        <f t="shared" si="0"/>
        <v>166</v>
      </c>
      <c r="M19" s="5">
        <f t="shared" si="0"/>
        <v>29</v>
      </c>
      <c r="O19" s="5">
        <f t="shared" si="0"/>
        <v>168</v>
      </c>
      <c r="Q19" s="5">
        <f t="shared" si="0"/>
        <v>0</v>
      </c>
      <c r="S19" s="5">
        <f t="shared" si="0"/>
        <v>26</v>
      </c>
      <c r="U19" s="5">
        <f t="shared" si="0"/>
        <v>222</v>
      </c>
      <c r="W19" s="5">
        <f t="shared" si="0"/>
        <v>55</v>
      </c>
      <c r="Y19">
        <f>SUM(Y8:Y18)</f>
        <v>329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995</v>
      </c>
    </row>
    <row r="24" spans="1:25" x14ac:dyDescent="0.25">
      <c r="K24" s="5" t="s">
        <v>17</v>
      </c>
      <c r="O24" s="9">
        <f>+C19+E19+G19</f>
        <v>1679</v>
      </c>
    </row>
    <row r="25" spans="1:25" x14ac:dyDescent="0.25">
      <c r="K25" s="5" t="s">
        <v>18</v>
      </c>
      <c r="O25" s="5">
        <f>+O23+O24</f>
        <v>2674</v>
      </c>
    </row>
    <row r="26" spans="1:25" x14ac:dyDescent="0.25">
      <c r="K26" s="6" t="s">
        <v>19</v>
      </c>
      <c r="O26" s="5">
        <v>12</v>
      </c>
    </row>
    <row r="27" spans="1:25" x14ac:dyDescent="0.25">
      <c r="K27" s="6" t="s">
        <v>20</v>
      </c>
      <c r="O27" s="9">
        <v>45</v>
      </c>
    </row>
    <row r="28" spans="1:25" x14ac:dyDescent="0.25">
      <c r="K28" s="6" t="s">
        <v>21</v>
      </c>
      <c r="O28" s="5">
        <f>+O25+O26+O27</f>
        <v>2731</v>
      </c>
    </row>
    <row r="30" spans="1:25" x14ac:dyDescent="0.25">
      <c r="K30" s="6" t="s">
        <v>22</v>
      </c>
    </row>
    <row r="31" spans="1:25" x14ac:dyDescent="0.25">
      <c r="K31" s="6" t="s">
        <v>76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v>13</v>
      </c>
    </row>
    <row r="35" spans="1:17" x14ac:dyDescent="0.25">
      <c r="K35" s="6" t="s">
        <v>21</v>
      </c>
      <c r="O35" s="5">
        <f>+O28+O30+O31+O32+O33</f>
        <v>2744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100+50+500+420+230+180+50+20</f>
        <v>1550</v>
      </c>
      <c r="E43" s="5">
        <f>280+380+500+150+130+165+25+3</f>
        <v>1633</v>
      </c>
      <c r="G43" s="5">
        <f>200+220+500+500+180+90+50+7</f>
        <v>1747</v>
      </c>
      <c r="I43" s="5">
        <f>380+500+50+210+105+50+24</f>
        <v>1319</v>
      </c>
      <c r="K43" s="5">
        <f>300+200+500+140+110+50+9</f>
        <v>1309</v>
      </c>
      <c r="M43" s="5">
        <f>200+500+340+100+75+25+22</f>
        <v>1262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1550</v>
      </c>
      <c r="E52" s="5">
        <f t="shared" ref="E52:Q52" si="1">SUM(E43:E51)</f>
        <v>1633</v>
      </c>
      <c r="G52" s="5">
        <f t="shared" si="1"/>
        <v>1747</v>
      </c>
      <c r="I52" s="5">
        <f t="shared" si="1"/>
        <v>1319</v>
      </c>
      <c r="K52" s="5">
        <f t="shared" si="1"/>
        <v>1309</v>
      </c>
      <c r="M52" s="5">
        <f t="shared" si="1"/>
        <v>1262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580</v>
      </c>
      <c r="F53" s="5"/>
      <c r="G53" s="7">
        <v>300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1250</v>
      </c>
      <c r="E54" s="5">
        <f t="shared" ref="E54:M54" si="2">+E52-E53</f>
        <v>1053</v>
      </c>
      <c r="G54" s="5">
        <f t="shared" si="2"/>
        <v>1447</v>
      </c>
      <c r="I54" s="5">
        <f t="shared" si="2"/>
        <v>1019</v>
      </c>
      <c r="K54" s="5">
        <f t="shared" si="2"/>
        <v>1009</v>
      </c>
      <c r="M54" s="5">
        <f t="shared" si="2"/>
        <v>962</v>
      </c>
      <c r="Q54" s="5">
        <f>+C54+E54+G54+I54+K54+M54</f>
        <v>6740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1250</v>
      </c>
      <c r="E60" s="5">
        <f t="shared" ref="E60:M60" si="3">+E54+E57</f>
        <v>1053</v>
      </c>
      <c r="G60" s="5">
        <f t="shared" si="3"/>
        <v>1447</v>
      </c>
      <c r="I60" s="5">
        <f t="shared" si="3"/>
        <v>1019</v>
      </c>
      <c r="K60" s="5">
        <f t="shared" si="3"/>
        <v>1009</v>
      </c>
      <c r="M60" s="5">
        <f t="shared" si="3"/>
        <v>962</v>
      </c>
      <c r="Q60" s="5">
        <f>+Q54+Q57</f>
        <v>6740</v>
      </c>
    </row>
    <row r="63" spans="1:36" s="8" customFormat="1" ht="15.75" thickBot="1" x14ac:dyDescent="0.3">
      <c r="A63" s="5" t="s">
        <v>39</v>
      </c>
      <c r="B63" s="5"/>
      <c r="C63" s="8">
        <f>+C60</f>
        <v>1250</v>
      </c>
      <c r="E63" s="8">
        <f t="shared" ref="E63:Q63" si="4">+E60</f>
        <v>1053</v>
      </c>
      <c r="G63" s="8">
        <f t="shared" si="4"/>
        <v>1447</v>
      </c>
      <c r="I63" s="8">
        <f t="shared" si="4"/>
        <v>1019</v>
      </c>
      <c r="K63" s="8">
        <f t="shared" si="4"/>
        <v>1009</v>
      </c>
      <c r="M63" s="8">
        <f t="shared" si="4"/>
        <v>962</v>
      </c>
      <c r="O63" s="8">
        <f t="shared" si="4"/>
        <v>0</v>
      </c>
      <c r="Q63" s="8">
        <f t="shared" si="4"/>
        <v>6740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3" x14ac:dyDescent="0.25">
      <c r="A65" t="s">
        <v>40</v>
      </c>
      <c r="C65" s="5">
        <f>78+1263</f>
        <v>1341</v>
      </c>
      <c r="E65" s="5">
        <f>50+91+1544</f>
        <v>1685</v>
      </c>
      <c r="G65" s="5">
        <f>48+773</f>
        <v>821</v>
      </c>
      <c r="I65" s="5">
        <f>107+74+900</f>
        <v>1081</v>
      </c>
      <c r="K65" s="5">
        <f>54+125+980</f>
        <v>1159</v>
      </c>
      <c r="M65" s="5">
        <v>1178</v>
      </c>
    </row>
    <row r="67" spans="1:13" x14ac:dyDescent="0.25">
      <c r="A67" t="s">
        <v>42</v>
      </c>
    </row>
    <row r="68" spans="1:13" x14ac:dyDescent="0.25">
      <c r="A68" t="s">
        <v>41</v>
      </c>
      <c r="C68" s="10">
        <f>+Q60</f>
        <v>6740</v>
      </c>
      <c r="I68" s="5" t="s">
        <v>43</v>
      </c>
      <c r="K68" s="11">
        <f>+C65+E65+G65+I65+K65+M65+C68</f>
        <v>14005</v>
      </c>
    </row>
  </sheetData>
  <pageMargins left="0.7" right="0.7" top="0.75" bottom="0.75" header="0.3" footer="0.3"/>
  <pageSetup scale="72" orientation="landscape" r:id="rId1"/>
  <rowBreaks count="1" manualBreakCount="1">
    <brk id="37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zoomScaleNormal="100" workbookViewId="0">
      <selection activeCell="I32" sqref="I32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90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155</v>
      </c>
      <c r="E8" s="5">
        <v>43</v>
      </c>
      <c r="G8" s="5">
        <v>39</v>
      </c>
      <c r="K8" s="5">
        <v>38</v>
      </c>
      <c r="M8" s="5">
        <v>7</v>
      </c>
      <c r="O8" s="5">
        <v>16</v>
      </c>
      <c r="S8" s="5">
        <v>7</v>
      </c>
      <c r="U8" s="5">
        <v>67</v>
      </c>
      <c r="W8" s="5">
        <v>11</v>
      </c>
      <c r="Y8">
        <v>57</v>
      </c>
    </row>
    <row r="9" spans="1:25" x14ac:dyDescent="0.25">
      <c r="C9" s="5">
        <v>115</v>
      </c>
      <c r="E9" s="5">
        <v>37</v>
      </c>
      <c r="G9" s="5">
        <v>47</v>
      </c>
      <c r="K9" s="5">
        <v>31</v>
      </c>
      <c r="M9" s="5">
        <v>6</v>
      </c>
      <c r="O9" s="5">
        <v>38</v>
      </c>
      <c r="Q9" s="5">
        <v>6</v>
      </c>
      <c r="S9" s="5">
        <v>4</v>
      </c>
      <c r="U9" s="5">
        <v>53</v>
      </c>
      <c r="W9" s="5">
        <v>14</v>
      </c>
      <c r="Y9">
        <v>37</v>
      </c>
    </row>
    <row r="10" spans="1:25" x14ac:dyDescent="0.25">
      <c r="C10" s="5">
        <v>109</v>
      </c>
      <c r="E10" s="5">
        <v>34</v>
      </c>
      <c r="G10" s="5">
        <v>40</v>
      </c>
      <c r="K10" s="5">
        <v>4</v>
      </c>
      <c r="O10" s="5">
        <v>9</v>
      </c>
      <c r="S10" s="5">
        <v>1</v>
      </c>
      <c r="U10" s="5">
        <v>58</v>
      </c>
      <c r="W10" s="5">
        <v>18</v>
      </c>
      <c r="Y10">
        <v>52</v>
      </c>
    </row>
    <row r="11" spans="1:25" x14ac:dyDescent="0.25">
      <c r="C11" s="6">
        <v>182</v>
      </c>
      <c r="E11" s="6">
        <v>15</v>
      </c>
      <c r="G11" s="6">
        <v>46</v>
      </c>
      <c r="K11" s="6">
        <v>36</v>
      </c>
      <c r="M11" s="6">
        <v>11</v>
      </c>
      <c r="O11" s="6">
        <v>18</v>
      </c>
      <c r="Q11" s="6">
        <v>2</v>
      </c>
      <c r="S11" s="6">
        <v>3</v>
      </c>
      <c r="U11" s="6">
        <v>24</v>
      </c>
      <c r="W11" s="6">
        <v>17</v>
      </c>
      <c r="Y11">
        <v>21</v>
      </c>
    </row>
    <row r="12" spans="1:25" x14ac:dyDescent="0.25">
      <c r="C12" s="6">
        <v>84</v>
      </c>
      <c r="E12" s="6">
        <v>15</v>
      </c>
      <c r="G12" s="6">
        <v>19</v>
      </c>
      <c r="K12" s="6">
        <v>25</v>
      </c>
      <c r="M12" s="6">
        <v>4</v>
      </c>
      <c r="O12" s="6">
        <v>12</v>
      </c>
      <c r="S12" s="6"/>
      <c r="U12" s="6">
        <v>27</v>
      </c>
      <c r="W12" s="6">
        <v>5</v>
      </c>
      <c r="Y12">
        <v>23</v>
      </c>
    </row>
    <row r="13" spans="1:25" x14ac:dyDescent="0.25">
      <c r="C13" s="6">
        <v>218</v>
      </c>
      <c r="E13" s="6">
        <v>19</v>
      </c>
      <c r="G13" s="6">
        <v>37</v>
      </c>
      <c r="K13" s="6">
        <v>6</v>
      </c>
      <c r="M13" s="6">
        <v>1</v>
      </c>
      <c r="O13" s="6">
        <v>36</v>
      </c>
      <c r="Q13" s="6">
        <v>3</v>
      </c>
      <c r="S13" s="6">
        <v>10</v>
      </c>
      <c r="U13" s="6">
        <v>59</v>
      </c>
      <c r="W13" s="6">
        <v>12</v>
      </c>
      <c r="Y13">
        <v>51</v>
      </c>
    </row>
    <row r="14" spans="1:25" x14ac:dyDescent="0.25">
      <c r="C14" s="6">
        <v>122</v>
      </c>
      <c r="E14" s="6">
        <v>26</v>
      </c>
      <c r="G14" s="6">
        <v>38</v>
      </c>
      <c r="K14" s="6">
        <v>37</v>
      </c>
      <c r="M14" s="6">
        <v>1</v>
      </c>
      <c r="O14" s="6">
        <v>17</v>
      </c>
      <c r="Q14" s="6">
        <v>2</v>
      </c>
      <c r="S14" s="6"/>
      <c r="U14" s="6">
        <v>39</v>
      </c>
      <c r="W14" s="6">
        <v>10</v>
      </c>
      <c r="Y14">
        <v>9</v>
      </c>
    </row>
    <row r="15" spans="1:25" x14ac:dyDescent="0.25">
      <c r="C15" s="6">
        <v>151</v>
      </c>
      <c r="E15" s="6">
        <v>27</v>
      </c>
      <c r="G15" s="6">
        <v>39</v>
      </c>
      <c r="K15" s="6">
        <v>9</v>
      </c>
      <c r="M15" s="6">
        <v>1</v>
      </c>
      <c r="O15" s="6">
        <v>16</v>
      </c>
      <c r="S15" s="6"/>
      <c r="U15" s="6">
        <v>35</v>
      </c>
      <c r="W15" s="6">
        <v>10</v>
      </c>
      <c r="Y15">
        <v>10</v>
      </c>
    </row>
    <row r="16" spans="1:25" x14ac:dyDescent="0.25">
      <c r="C16" s="6">
        <v>140</v>
      </c>
      <c r="E16" s="6">
        <v>24</v>
      </c>
      <c r="G16" s="6">
        <v>36</v>
      </c>
      <c r="K16" s="6">
        <v>14</v>
      </c>
      <c r="M16" s="6">
        <v>2</v>
      </c>
      <c r="O16" s="6">
        <v>21</v>
      </c>
      <c r="Q16" s="6">
        <v>3</v>
      </c>
      <c r="S16" s="6"/>
      <c r="U16" s="6">
        <v>56</v>
      </c>
      <c r="W16" s="6">
        <v>7</v>
      </c>
      <c r="Y16">
        <v>34</v>
      </c>
    </row>
    <row r="17" spans="1:25" s="5" customFormat="1" x14ac:dyDescent="0.25">
      <c r="C17" s="6">
        <f>93+141+40</f>
        <v>274</v>
      </c>
      <c r="E17" s="6">
        <v>24</v>
      </c>
      <c r="G17" s="6">
        <f>21+24</f>
        <v>45</v>
      </c>
      <c r="K17" s="6">
        <v>10</v>
      </c>
      <c r="M17" s="6">
        <v>7</v>
      </c>
      <c r="O17" s="6">
        <v>22</v>
      </c>
      <c r="Q17" s="6">
        <v>3</v>
      </c>
      <c r="S17" s="6"/>
      <c r="U17" s="6">
        <f>15+53</f>
        <v>68</v>
      </c>
      <c r="W17" s="6">
        <v>17</v>
      </c>
      <c r="Y17" s="5">
        <v>107</v>
      </c>
    </row>
    <row r="18" spans="1:25" x14ac:dyDescent="0.25">
      <c r="C18" s="9">
        <v>235</v>
      </c>
      <c r="E18" s="9">
        <v>22</v>
      </c>
      <c r="G18" s="9">
        <v>36</v>
      </c>
      <c r="I18" s="9"/>
      <c r="K18" s="9">
        <v>25</v>
      </c>
      <c r="M18" s="9">
        <v>4</v>
      </c>
      <c r="O18" s="9">
        <v>17</v>
      </c>
      <c r="Q18" s="9"/>
      <c r="S18" s="9">
        <v>6</v>
      </c>
      <c r="U18" s="9">
        <v>35</v>
      </c>
      <c r="W18" s="9">
        <v>4</v>
      </c>
      <c r="Y18" s="9">
        <v>36</v>
      </c>
    </row>
    <row r="19" spans="1:25" x14ac:dyDescent="0.25">
      <c r="A19" t="s">
        <v>13</v>
      </c>
      <c r="C19" s="5">
        <f>SUM(C8:C18)</f>
        <v>1785</v>
      </c>
      <c r="E19" s="5">
        <f t="shared" ref="E19:W19" si="0">SUM(E8:E18)</f>
        <v>286</v>
      </c>
      <c r="G19" s="5">
        <f t="shared" si="0"/>
        <v>422</v>
      </c>
      <c r="I19" s="5">
        <f t="shared" si="0"/>
        <v>0</v>
      </c>
      <c r="K19" s="5">
        <f t="shared" si="0"/>
        <v>235</v>
      </c>
      <c r="M19" s="5">
        <f t="shared" si="0"/>
        <v>44</v>
      </c>
      <c r="O19" s="5">
        <f t="shared" si="0"/>
        <v>222</v>
      </c>
      <c r="Q19" s="5">
        <f t="shared" si="0"/>
        <v>19</v>
      </c>
      <c r="S19" s="5">
        <f t="shared" si="0"/>
        <v>31</v>
      </c>
      <c r="U19" s="5">
        <f t="shared" si="0"/>
        <v>521</v>
      </c>
      <c r="W19" s="5">
        <f t="shared" si="0"/>
        <v>125</v>
      </c>
      <c r="Y19">
        <f>SUM(Y8:Y18)</f>
        <v>437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1634</v>
      </c>
    </row>
    <row r="24" spans="1:25" x14ac:dyDescent="0.25">
      <c r="K24" s="5" t="s">
        <v>17</v>
      </c>
      <c r="O24" s="9">
        <f>+C19+E19+G19</f>
        <v>2493</v>
      </c>
    </row>
    <row r="25" spans="1:25" x14ac:dyDescent="0.25">
      <c r="K25" s="5" t="s">
        <v>18</v>
      </c>
      <c r="O25" s="5">
        <f>+O23+O24</f>
        <v>4127</v>
      </c>
    </row>
    <row r="26" spans="1:25" x14ac:dyDescent="0.25">
      <c r="K26" s="6" t="s">
        <v>19</v>
      </c>
      <c r="O26" s="5">
        <v>12</v>
      </c>
    </row>
    <row r="27" spans="1:25" x14ac:dyDescent="0.25">
      <c r="K27" s="6" t="s">
        <v>20</v>
      </c>
      <c r="O27" s="9">
        <v>50</v>
      </c>
    </row>
    <row r="28" spans="1:25" x14ac:dyDescent="0.25">
      <c r="K28" s="6" t="s">
        <v>21</v>
      </c>
      <c r="O28" s="5">
        <f>+O25+O26+O27</f>
        <v>4189</v>
      </c>
    </row>
    <row r="30" spans="1:25" x14ac:dyDescent="0.25">
      <c r="K30" s="6" t="s">
        <v>22</v>
      </c>
    </row>
    <row r="31" spans="1:25" x14ac:dyDescent="0.25">
      <c r="K31" s="6" t="s">
        <v>76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v>23</v>
      </c>
    </row>
    <row r="35" spans="1:17" x14ac:dyDescent="0.25">
      <c r="K35" s="6" t="s">
        <v>21</v>
      </c>
      <c r="O35" s="5">
        <f>+O28+O30+O31+O32+O33</f>
        <v>4212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300+100+200+500+90+85+50+7</f>
        <v>1332</v>
      </c>
      <c r="E43" s="5">
        <f>100+500+500+100+200+75+25+16+280</f>
        <v>1796</v>
      </c>
      <c r="G43" s="5">
        <f>50+50+2+50+220+500+500+250+300</f>
        <v>1922</v>
      </c>
      <c r="I43" s="5">
        <f>4+50+145+70+500+500+280+100+200</f>
        <v>1849</v>
      </c>
      <c r="K43" s="5">
        <f>100+150+500+100+100+160+500+500+500+180+140+50+14</f>
        <v>2994</v>
      </c>
      <c r="M43" s="5">
        <f>200+250+500+500+160+60+95+25+19</f>
        <v>1809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1332</v>
      </c>
      <c r="E52" s="5">
        <f t="shared" ref="E52:Q52" si="1">SUM(E43:E51)</f>
        <v>1796</v>
      </c>
      <c r="G52" s="5">
        <f t="shared" si="1"/>
        <v>1922</v>
      </c>
      <c r="I52" s="5">
        <f t="shared" si="1"/>
        <v>1849</v>
      </c>
      <c r="K52" s="5">
        <f t="shared" si="1"/>
        <v>2994</v>
      </c>
      <c r="M52" s="5">
        <f t="shared" si="1"/>
        <v>1809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580</v>
      </c>
      <c r="F53" s="5"/>
      <c r="G53" s="7">
        <v>300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1032</v>
      </c>
      <c r="E54" s="5">
        <f t="shared" ref="E54:M54" si="2">+E52-E53</f>
        <v>1216</v>
      </c>
      <c r="G54" s="5">
        <f t="shared" si="2"/>
        <v>1622</v>
      </c>
      <c r="I54" s="5">
        <f t="shared" si="2"/>
        <v>1549</v>
      </c>
      <c r="K54" s="5">
        <f t="shared" si="2"/>
        <v>2694</v>
      </c>
      <c r="M54" s="5">
        <f t="shared" si="2"/>
        <v>1509</v>
      </c>
      <c r="Q54" s="5">
        <f>+C54+E54+G54+I54+K54+M54</f>
        <v>9622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1032</v>
      </c>
      <c r="E60" s="5">
        <f t="shared" ref="E60:M60" si="3">+E54+E57</f>
        <v>1216</v>
      </c>
      <c r="G60" s="5">
        <f t="shared" si="3"/>
        <v>1622</v>
      </c>
      <c r="I60" s="5">
        <f t="shared" si="3"/>
        <v>1549</v>
      </c>
      <c r="K60" s="5">
        <f t="shared" si="3"/>
        <v>2694</v>
      </c>
      <c r="M60" s="5">
        <f t="shared" si="3"/>
        <v>1509</v>
      </c>
      <c r="Q60" s="5">
        <f>+Q54+Q57</f>
        <v>9622</v>
      </c>
    </row>
    <row r="63" spans="1:36" s="8" customFormat="1" ht="15.75" thickBot="1" x14ac:dyDescent="0.3">
      <c r="A63" s="5" t="s">
        <v>39</v>
      </c>
      <c r="B63" s="5"/>
      <c r="C63" s="8">
        <f>+C60</f>
        <v>1032</v>
      </c>
      <c r="E63" s="8">
        <f t="shared" ref="E63:Q63" si="4">+E60</f>
        <v>1216</v>
      </c>
      <c r="G63" s="8">
        <f t="shared" si="4"/>
        <v>1622</v>
      </c>
      <c r="I63" s="8">
        <f t="shared" si="4"/>
        <v>1549</v>
      </c>
      <c r="K63" s="8">
        <f t="shared" si="4"/>
        <v>2694</v>
      </c>
      <c r="M63" s="8">
        <f t="shared" si="4"/>
        <v>1509</v>
      </c>
      <c r="O63" s="8">
        <f t="shared" si="4"/>
        <v>0</v>
      </c>
      <c r="Q63" s="8">
        <f t="shared" si="4"/>
        <v>9622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3" x14ac:dyDescent="0.25">
      <c r="A65" t="s">
        <v>40</v>
      </c>
      <c r="C65" s="5">
        <f>98+75+901</f>
        <v>1074</v>
      </c>
      <c r="E65" s="5">
        <f>111+61+1706</f>
        <v>1878</v>
      </c>
      <c r="G65" s="5">
        <f>56+88+2398</f>
        <v>2542</v>
      </c>
      <c r="I65" s="5">
        <f>54+77+1227</f>
        <v>1358</v>
      </c>
      <c r="K65" s="5">
        <f>20+44+1878</f>
        <v>1942</v>
      </c>
      <c r="M65" s="5">
        <f>178+152+2609</f>
        <v>2939</v>
      </c>
    </row>
    <row r="67" spans="1:13" x14ac:dyDescent="0.25">
      <c r="A67" t="s">
        <v>42</v>
      </c>
    </row>
    <row r="68" spans="1:13" x14ac:dyDescent="0.25">
      <c r="A68" t="s">
        <v>41</v>
      </c>
      <c r="C68" s="10">
        <f>+Q60</f>
        <v>9622</v>
      </c>
      <c r="I68" s="5" t="s">
        <v>43</v>
      </c>
      <c r="K68" s="11">
        <f>+C65+E65+G65+I65+K65+M65+C68</f>
        <v>21355</v>
      </c>
    </row>
  </sheetData>
  <pageMargins left="0.7" right="0.7" top="0.75" bottom="0.75" header="0.3" footer="0.3"/>
  <pageSetup scale="72" orientation="landscape" r:id="rId1"/>
  <rowBreaks count="1" manualBreakCount="1">
    <brk id="38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zoomScaleNormal="100" workbookViewId="0">
      <selection activeCell="G26" sqref="G26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91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198</v>
      </c>
      <c r="E8" s="5">
        <v>32</v>
      </c>
      <c r="G8" s="5">
        <v>35</v>
      </c>
      <c r="K8" s="5">
        <v>25</v>
      </c>
      <c r="M8" s="5">
        <v>4</v>
      </c>
      <c r="O8" s="5">
        <v>49</v>
      </c>
      <c r="Q8" s="5">
        <v>4</v>
      </c>
      <c r="S8" s="5">
        <v>8</v>
      </c>
      <c r="U8" s="5">
        <v>96</v>
      </c>
      <c r="W8" s="5">
        <v>34</v>
      </c>
      <c r="Y8">
        <v>23</v>
      </c>
    </row>
    <row r="9" spans="1:25" x14ac:dyDescent="0.25">
      <c r="Y9">
        <v>29</v>
      </c>
    </row>
    <row r="11" spans="1:25" x14ac:dyDescent="0.25">
      <c r="C11" s="6"/>
      <c r="E11" s="6"/>
      <c r="G11" s="6"/>
      <c r="K11" s="6"/>
      <c r="M11" s="6"/>
      <c r="O11" s="6"/>
      <c r="Q11" s="6"/>
      <c r="S11" s="6"/>
      <c r="U11" s="6"/>
      <c r="W11" s="6"/>
    </row>
    <row r="12" spans="1:25" x14ac:dyDescent="0.25">
      <c r="C12" s="6"/>
      <c r="E12" s="6"/>
      <c r="G12" s="6"/>
      <c r="K12" s="6"/>
      <c r="M12" s="6"/>
      <c r="O12" s="6"/>
      <c r="S12" s="6"/>
      <c r="U12" s="6"/>
      <c r="W12" s="6"/>
    </row>
    <row r="13" spans="1:25" x14ac:dyDescent="0.25">
      <c r="C13" s="6"/>
      <c r="E13" s="6"/>
      <c r="G13" s="6"/>
      <c r="K13" s="6"/>
      <c r="M13" s="6"/>
      <c r="O13" s="6"/>
      <c r="Q13" s="6"/>
      <c r="S13" s="6"/>
      <c r="U13" s="6"/>
      <c r="W13" s="6"/>
    </row>
    <row r="14" spans="1:25" x14ac:dyDescent="0.25">
      <c r="C14" s="6"/>
      <c r="E14" s="6"/>
      <c r="G14" s="6"/>
      <c r="K14" s="6"/>
      <c r="M14" s="6"/>
      <c r="O14" s="6"/>
      <c r="Q14" s="6"/>
      <c r="S14" s="6"/>
      <c r="U14" s="6"/>
      <c r="W14" s="6"/>
    </row>
    <row r="15" spans="1:25" x14ac:dyDescent="0.25">
      <c r="C15" s="6"/>
      <c r="E15" s="6"/>
      <c r="G15" s="6"/>
      <c r="K15" s="6"/>
      <c r="M15" s="6"/>
      <c r="O15" s="6"/>
      <c r="S15" s="6"/>
      <c r="U15" s="6"/>
      <c r="W15" s="6"/>
    </row>
    <row r="16" spans="1:25" x14ac:dyDescent="0.25">
      <c r="C16" s="6"/>
      <c r="E16" s="6"/>
      <c r="G16" s="6"/>
      <c r="K16" s="6"/>
      <c r="M16" s="6"/>
      <c r="O16" s="6"/>
      <c r="Q16" s="6"/>
      <c r="S16" s="6"/>
      <c r="U16" s="6"/>
      <c r="W16" s="6"/>
    </row>
    <row r="17" spans="1:25" s="5" customFormat="1" x14ac:dyDescent="0.25">
      <c r="C17" s="6"/>
      <c r="E17" s="6"/>
      <c r="G17" s="6"/>
      <c r="K17" s="6"/>
      <c r="M17" s="6"/>
      <c r="O17" s="6"/>
      <c r="Q17" s="6"/>
      <c r="S17" s="6"/>
      <c r="U17" s="6"/>
      <c r="W17" s="6"/>
    </row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198</v>
      </c>
      <c r="E19" s="5">
        <f t="shared" ref="E19:W19" si="0">SUM(E8:E18)</f>
        <v>32</v>
      </c>
      <c r="G19" s="5">
        <f t="shared" si="0"/>
        <v>35</v>
      </c>
      <c r="I19" s="5">
        <f t="shared" si="0"/>
        <v>0</v>
      </c>
      <c r="K19" s="5">
        <f t="shared" si="0"/>
        <v>25</v>
      </c>
      <c r="M19" s="5">
        <f t="shared" si="0"/>
        <v>4</v>
      </c>
      <c r="O19" s="5">
        <f t="shared" si="0"/>
        <v>49</v>
      </c>
      <c r="Q19" s="5">
        <f t="shared" si="0"/>
        <v>4</v>
      </c>
      <c r="S19" s="5">
        <f t="shared" si="0"/>
        <v>8</v>
      </c>
      <c r="U19" s="5">
        <f t="shared" si="0"/>
        <v>96</v>
      </c>
      <c r="W19" s="5">
        <f t="shared" si="0"/>
        <v>34</v>
      </c>
      <c r="Y19">
        <f>SUM(Y8:Y18)</f>
        <v>52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272</v>
      </c>
    </row>
    <row r="24" spans="1:25" x14ac:dyDescent="0.25">
      <c r="K24" s="5" t="s">
        <v>17</v>
      </c>
      <c r="O24" s="9">
        <f>+C19+E19+G19</f>
        <v>265</v>
      </c>
    </row>
    <row r="25" spans="1:25" x14ac:dyDescent="0.25">
      <c r="K25" s="5" t="s">
        <v>18</v>
      </c>
      <c r="O25" s="5">
        <f>+O23+O24</f>
        <v>537</v>
      </c>
    </row>
    <row r="26" spans="1:25" x14ac:dyDescent="0.25">
      <c r="K26" s="6" t="s">
        <v>19</v>
      </c>
      <c r="O26" s="5">
        <v>9</v>
      </c>
    </row>
    <row r="27" spans="1:25" x14ac:dyDescent="0.25">
      <c r="K27" s="6" t="s">
        <v>20</v>
      </c>
      <c r="O27" s="9">
        <v>32</v>
      </c>
    </row>
    <row r="28" spans="1:25" x14ac:dyDescent="0.25">
      <c r="K28" s="6" t="s">
        <v>21</v>
      </c>
      <c r="O28" s="5">
        <f>+O25+O26+O27</f>
        <v>578</v>
      </c>
    </row>
    <row r="30" spans="1:25" x14ac:dyDescent="0.25">
      <c r="K30" s="6" t="s">
        <v>22</v>
      </c>
    </row>
    <row r="31" spans="1:25" x14ac:dyDescent="0.25">
      <c r="K31" s="6" t="s">
        <v>76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/>
    </row>
    <row r="35" spans="1:17" x14ac:dyDescent="0.25">
      <c r="K35" s="6" t="s">
        <v>21</v>
      </c>
      <c r="O35" s="5">
        <f>+O28+O30+O31+O32+O33</f>
        <v>578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100+140+140+95+50+14</f>
        <v>539</v>
      </c>
      <c r="E43" s="5">
        <f>280+100+320+140+85+50+16</f>
        <v>991</v>
      </c>
      <c r="G43" s="5">
        <f>50+120+80+50+15</f>
        <v>315</v>
      </c>
      <c r="I43" s="5">
        <f>220+150+75+50+19</f>
        <v>514</v>
      </c>
      <c r="K43" s="5">
        <f>140+150+65+50+23</f>
        <v>428</v>
      </c>
      <c r="M43" s="5">
        <v>300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539</v>
      </c>
      <c r="E52" s="5">
        <f t="shared" ref="E52:Q52" si="1">SUM(E43:E51)</f>
        <v>991</v>
      </c>
      <c r="G52" s="5">
        <f t="shared" si="1"/>
        <v>315</v>
      </c>
      <c r="I52" s="5">
        <f t="shared" si="1"/>
        <v>514</v>
      </c>
      <c r="K52" s="5">
        <f t="shared" si="1"/>
        <v>428</v>
      </c>
      <c r="M52" s="5">
        <f t="shared" si="1"/>
        <v>300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580</v>
      </c>
      <c r="F53" s="5"/>
      <c r="G53" s="7">
        <v>300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239</v>
      </c>
      <c r="E54" s="5">
        <f t="shared" ref="E54:M54" si="2">+E52-E53</f>
        <v>411</v>
      </c>
      <c r="G54" s="5">
        <f t="shared" si="2"/>
        <v>15</v>
      </c>
      <c r="I54" s="5">
        <f t="shared" si="2"/>
        <v>214</v>
      </c>
      <c r="K54" s="5">
        <f t="shared" si="2"/>
        <v>128</v>
      </c>
      <c r="M54" s="5">
        <f t="shared" si="2"/>
        <v>0</v>
      </c>
      <c r="Q54" s="5">
        <f>+C54+E54+G54+I54+K54+M54</f>
        <v>1007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239</v>
      </c>
      <c r="E60" s="5">
        <f t="shared" ref="E60:M60" si="3">+E54+E57</f>
        <v>411</v>
      </c>
      <c r="G60" s="5">
        <f t="shared" si="3"/>
        <v>15</v>
      </c>
      <c r="I60" s="5">
        <f t="shared" si="3"/>
        <v>214</v>
      </c>
      <c r="K60" s="5">
        <f t="shared" si="3"/>
        <v>128</v>
      </c>
      <c r="M60" s="5">
        <f t="shared" si="3"/>
        <v>0</v>
      </c>
      <c r="Q60" s="5">
        <f>+Q54+Q57</f>
        <v>1007</v>
      </c>
    </row>
    <row r="63" spans="1:36" s="8" customFormat="1" ht="15.75" thickBot="1" x14ac:dyDescent="0.3">
      <c r="A63" s="5" t="s">
        <v>39</v>
      </c>
      <c r="B63" s="5"/>
      <c r="C63" s="8">
        <f>+C60</f>
        <v>239</v>
      </c>
      <c r="E63" s="8">
        <f t="shared" ref="E63:Q63" si="4">+E60</f>
        <v>411</v>
      </c>
      <c r="G63" s="8">
        <f t="shared" si="4"/>
        <v>15</v>
      </c>
      <c r="I63" s="8">
        <f t="shared" si="4"/>
        <v>214</v>
      </c>
      <c r="K63" s="8">
        <f t="shared" si="4"/>
        <v>128</v>
      </c>
      <c r="M63" s="8">
        <f t="shared" si="4"/>
        <v>0</v>
      </c>
      <c r="O63" s="8">
        <f t="shared" si="4"/>
        <v>0</v>
      </c>
      <c r="Q63" s="8">
        <f t="shared" si="4"/>
        <v>1007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1" x14ac:dyDescent="0.25">
      <c r="A65" t="s">
        <v>40</v>
      </c>
      <c r="C65" s="5">
        <v>138</v>
      </c>
      <c r="E65" s="5">
        <f>40+434</f>
        <v>474</v>
      </c>
      <c r="G65" s="5">
        <v>328</v>
      </c>
      <c r="I65" s="5">
        <v>44</v>
      </c>
      <c r="K65" s="5">
        <v>72</v>
      </c>
    </row>
    <row r="67" spans="1:11" x14ac:dyDescent="0.25">
      <c r="A67" t="s">
        <v>42</v>
      </c>
    </row>
    <row r="68" spans="1:11" x14ac:dyDescent="0.25">
      <c r="A68" t="s">
        <v>41</v>
      </c>
      <c r="C68" s="10">
        <f>+Q60</f>
        <v>1007</v>
      </c>
      <c r="I68" s="5" t="s">
        <v>43</v>
      </c>
      <c r="K68" s="11">
        <f>+C65+E65+G65+I65+K65+M65+C68</f>
        <v>2063</v>
      </c>
    </row>
  </sheetData>
  <pageMargins left="0.7" right="0.7" top="0.75" bottom="0.75" header="0.3" footer="0.3"/>
  <pageSetup scale="72" orientation="landscape" r:id="rId1"/>
  <rowBreaks count="1" manualBreakCount="1">
    <brk id="37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zoomScaleNormal="100" workbookViewId="0">
      <selection activeCell="O31" sqref="O31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92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103</v>
      </c>
      <c r="E8" s="5">
        <v>16</v>
      </c>
      <c r="G8" s="5">
        <v>24</v>
      </c>
      <c r="K8" s="5">
        <v>16</v>
      </c>
      <c r="M8" s="5">
        <v>9</v>
      </c>
      <c r="O8" s="5">
        <v>29</v>
      </c>
      <c r="S8" s="5">
        <v>2</v>
      </c>
      <c r="U8" s="5">
        <v>58</v>
      </c>
      <c r="W8" s="5">
        <v>31</v>
      </c>
      <c r="Y8">
        <v>9</v>
      </c>
    </row>
    <row r="9" spans="1:25" x14ac:dyDescent="0.25">
      <c r="C9" s="5">
        <v>61</v>
      </c>
      <c r="E9" s="5">
        <v>4</v>
      </c>
      <c r="G9" s="5">
        <v>5</v>
      </c>
      <c r="K9" s="5">
        <v>3</v>
      </c>
      <c r="O9" s="5">
        <v>28</v>
      </c>
      <c r="S9" s="5">
        <v>1</v>
      </c>
      <c r="U9" s="5">
        <v>48</v>
      </c>
      <c r="W9" s="5">
        <v>4</v>
      </c>
      <c r="Y9">
        <v>11</v>
      </c>
    </row>
    <row r="10" spans="1:25" x14ac:dyDescent="0.25">
      <c r="C10" s="5">
        <v>19</v>
      </c>
      <c r="E10" s="5">
        <v>5</v>
      </c>
      <c r="G10" s="5">
        <v>7</v>
      </c>
      <c r="O10" s="5">
        <v>4</v>
      </c>
      <c r="U10" s="5">
        <v>18</v>
      </c>
      <c r="Y10">
        <v>71</v>
      </c>
    </row>
    <row r="11" spans="1:25" x14ac:dyDescent="0.25">
      <c r="C11" s="6"/>
      <c r="E11" s="6"/>
      <c r="G11" s="6"/>
      <c r="K11" s="6"/>
      <c r="M11" s="6"/>
      <c r="O11" s="6"/>
      <c r="Q11" s="6"/>
      <c r="S11" s="6"/>
      <c r="U11" s="6"/>
      <c r="W11" s="6"/>
    </row>
    <row r="12" spans="1:25" x14ac:dyDescent="0.25">
      <c r="C12" s="6"/>
      <c r="E12" s="6"/>
      <c r="G12" s="6"/>
      <c r="K12" s="6"/>
      <c r="M12" s="6"/>
      <c r="O12" s="6"/>
      <c r="S12" s="6"/>
      <c r="U12" s="6"/>
      <c r="W12" s="6"/>
    </row>
    <row r="13" spans="1:25" x14ac:dyDescent="0.25">
      <c r="C13" s="6"/>
      <c r="E13" s="6"/>
      <c r="G13" s="6"/>
      <c r="K13" s="6"/>
      <c r="M13" s="6"/>
      <c r="O13" s="6"/>
      <c r="Q13" s="6"/>
      <c r="S13" s="6"/>
      <c r="U13" s="6"/>
      <c r="W13" s="6"/>
    </row>
    <row r="14" spans="1:25" x14ac:dyDescent="0.25">
      <c r="C14" s="6"/>
      <c r="E14" s="6"/>
      <c r="G14" s="6"/>
      <c r="K14" s="6"/>
      <c r="M14" s="6"/>
      <c r="O14" s="6"/>
      <c r="Q14" s="6"/>
      <c r="S14" s="6"/>
      <c r="U14" s="6"/>
      <c r="W14" s="6"/>
    </row>
    <row r="15" spans="1:25" x14ac:dyDescent="0.25">
      <c r="C15" s="6"/>
      <c r="E15" s="6"/>
      <c r="G15" s="6"/>
      <c r="K15" s="6"/>
      <c r="M15" s="6"/>
      <c r="O15" s="6"/>
      <c r="S15" s="6"/>
      <c r="U15" s="6"/>
      <c r="W15" s="6"/>
    </row>
    <row r="16" spans="1:25" x14ac:dyDescent="0.25">
      <c r="C16" s="6"/>
      <c r="E16" s="6"/>
      <c r="G16" s="6"/>
      <c r="K16" s="6"/>
      <c r="M16" s="6"/>
      <c r="O16" s="6"/>
      <c r="Q16" s="6"/>
      <c r="S16" s="6"/>
      <c r="U16" s="6"/>
      <c r="W16" s="6"/>
    </row>
    <row r="17" spans="1:25" s="5" customFormat="1" x14ac:dyDescent="0.25">
      <c r="C17" s="6"/>
      <c r="E17" s="6"/>
      <c r="G17" s="6"/>
      <c r="K17" s="6"/>
      <c r="M17" s="6"/>
      <c r="O17" s="6"/>
      <c r="Q17" s="6"/>
      <c r="S17" s="6"/>
      <c r="U17" s="6"/>
      <c r="W17" s="6"/>
    </row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183</v>
      </c>
      <c r="E19" s="5">
        <f t="shared" ref="E19:W19" si="0">SUM(E8:E18)</f>
        <v>25</v>
      </c>
      <c r="G19" s="5">
        <f t="shared" si="0"/>
        <v>36</v>
      </c>
      <c r="I19" s="5">
        <f t="shared" si="0"/>
        <v>0</v>
      </c>
      <c r="K19" s="5">
        <f t="shared" si="0"/>
        <v>19</v>
      </c>
      <c r="M19" s="5">
        <f t="shared" si="0"/>
        <v>9</v>
      </c>
      <c r="O19" s="5">
        <f t="shared" si="0"/>
        <v>61</v>
      </c>
      <c r="Q19" s="5">
        <f t="shared" si="0"/>
        <v>0</v>
      </c>
      <c r="S19" s="5">
        <f t="shared" si="0"/>
        <v>3</v>
      </c>
      <c r="U19" s="5">
        <f t="shared" si="0"/>
        <v>124</v>
      </c>
      <c r="W19" s="5">
        <f t="shared" si="0"/>
        <v>35</v>
      </c>
      <c r="Y19">
        <f>SUM(Y8:Y18)</f>
        <v>91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342</v>
      </c>
    </row>
    <row r="24" spans="1:25" x14ac:dyDescent="0.25">
      <c r="K24" s="5" t="s">
        <v>17</v>
      </c>
      <c r="O24" s="9">
        <f>+C19+E19+G19</f>
        <v>244</v>
      </c>
    </row>
    <row r="25" spans="1:25" x14ac:dyDescent="0.25">
      <c r="K25" s="5" t="s">
        <v>18</v>
      </c>
      <c r="O25" s="5">
        <f>+O23+O24</f>
        <v>586</v>
      </c>
    </row>
    <row r="26" spans="1:25" x14ac:dyDescent="0.25">
      <c r="K26" s="6" t="s">
        <v>19</v>
      </c>
    </row>
    <row r="27" spans="1:25" x14ac:dyDescent="0.25">
      <c r="K27" s="6" t="s">
        <v>20</v>
      </c>
      <c r="O27" s="9">
        <v>27</v>
      </c>
    </row>
    <row r="28" spans="1:25" x14ac:dyDescent="0.25">
      <c r="K28" s="6" t="s">
        <v>21</v>
      </c>
      <c r="O28" s="5">
        <f>+O25+O26+O27</f>
        <v>613</v>
      </c>
    </row>
    <row r="30" spans="1:25" x14ac:dyDescent="0.25">
      <c r="K30" s="6" t="s">
        <v>22</v>
      </c>
      <c r="O30" s="5">
        <f>23+32</f>
        <v>55</v>
      </c>
    </row>
    <row r="31" spans="1:25" x14ac:dyDescent="0.25">
      <c r="K31" s="6" t="s">
        <v>76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v>8</v>
      </c>
    </row>
    <row r="35" spans="1:17" x14ac:dyDescent="0.25">
      <c r="K35" s="6" t="s">
        <v>21</v>
      </c>
      <c r="O35" s="5">
        <f>+O28+O30+O31+O32+O33</f>
        <v>676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100+100+120+90+50+25</f>
        <v>485</v>
      </c>
      <c r="E43" s="5">
        <f>2+200+540+100+70+50+23+280</f>
        <v>1265</v>
      </c>
      <c r="G43" s="5">
        <v>300</v>
      </c>
      <c r="I43" s="5">
        <v>300</v>
      </c>
      <c r="K43" s="5">
        <v>300</v>
      </c>
      <c r="M43" s="5">
        <v>300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485</v>
      </c>
      <c r="E52" s="5">
        <f t="shared" ref="E52:Q52" si="1">SUM(E43:E51)</f>
        <v>1265</v>
      </c>
      <c r="G52" s="5">
        <f t="shared" si="1"/>
        <v>300</v>
      </c>
      <c r="I52" s="5">
        <f t="shared" si="1"/>
        <v>300</v>
      </c>
      <c r="K52" s="5">
        <f t="shared" si="1"/>
        <v>300</v>
      </c>
      <c r="M52" s="5">
        <f t="shared" si="1"/>
        <v>300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580</v>
      </c>
      <c r="F53" s="5"/>
      <c r="G53" s="7">
        <v>300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185</v>
      </c>
      <c r="E54" s="5">
        <f t="shared" ref="E54:M54" si="2">+E52-E53</f>
        <v>685</v>
      </c>
      <c r="G54" s="5">
        <f t="shared" si="2"/>
        <v>0</v>
      </c>
      <c r="I54" s="5">
        <f t="shared" si="2"/>
        <v>0</v>
      </c>
      <c r="K54" s="5">
        <f t="shared" si="2"/>
        <v>0</v>
      </c>
      <c r="M54" s="5">
        <f t="shared" si="2"/>
        <v>0</v>
      </c>
      <c r="Q54" s="5">
        <f>+C54+E54+G54+I54+K54+M54</f>
        <v>870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185</v>
      </c>
      <c r="E60" s="5">
        <f t="shared" ref="E60:M60" si="3">+E54+E57</f>
        <v>685</v>
      </c>
      <c r="G60" s="5">
        <f t="shared" si="3"/>
        <v>0</v>
      </c>
      <c r="I60" s="5">
        <f t="shared" si="3"/>
        <v>0</v>
      </c>
      <c r="K60" s="5">
        <f t="shared" si="3"/>
        <v>0</v>
      </c>
      <c r="M60" s="5">
        <f t="shared" si="3"/>
        <v>0</v>
      </c>
      <c r="Q60" s="5">
        <f>+Q54+Q57</f>
        <v>870</v>
      </c>
    </row>
    <row r="63" spans="1:36" s="8" customFormat="1" ht="15.75" thickBot="1" x14ac:dyDescent="0.3">
      <c r="A63" s="5" t="s">
        <v>39</v>
      </c>
      <c r="B63" s="5"/>
      <c r="C63" s="8">
        <f>+C60</f>
        <v>185</v>
      </c>
      <c r="E63" s="8">
        <f t="shared" ref="E63:Q63" si="4">+E60</f>
        <v>685</v>
      </c>
      <c r="G63" s="8">
        <f t="shared" si="4"/>
        <v>0</v>
      </c>
      <c r="I63" s="8">
        <f t="shared" si="4"/>
        <v>0</v>
      </c>
      <c r="K63" s="8">
        <f t="shared" si="4"/>
        <v>0</v>
      </c>
      <c r="M63" s="8">
        <f t="shared" si="4"/>
        <v>0</v>
      </c>
      <c r="O63" s="8">
        <f t="shared" si="4"/>
        <v>0</v>
      </c>
      <c r="Q63" s="8">
        <f t="shared" si="4"/>
        <v>870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1" x14ac:dyDescent="0.25">
      <c r="A65" t="s">
        <v>40</v>
      </c>
      <c r="C65" s="5">
        <f>91+496</f>
        <v>587</v>
      </c>
      <c r="E65" s="5">
        <v>486</v>
      </c>
    </row>
    <row r="67" spans="1:11" x14ac:dyDescent="0.25">
      <c r="A67" t="s">
        <v>42</v>
      </c>
    </row>
    <row r="68" spans="1:11" x14ac:dyDescent="0.25">
      <c r="A68" t="s">
        <v>41</v>
      </c>
      <c r="C68" s="10">
        <f>+Q60</f>
        <v>870</v>
      </c>
      <c r="I68" s="5" t="s">
        <v>43</v>
      </c>
      <c r="K68" s="11">
        <f>+C65+E65+G65+I65+K65+M65+C68</f>
        <v>1943</v>
      </c>
    </row>
  </sheetData>
  <pageMargins left="0.7" right="0.7" top="0.75" bottom="0.75" header="0.3" footer="0.3"/>
  <pageSetup scale="72" orientation="landscape" r:id="rId1"/>
  <rowBreaks count="1" manualBreakCount="1">
    <brk id="37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zoomScaleNormal="100" workbookViewId="0">
      <selection activeCell="O30" sqref="O30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93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638</v>
      </c>
      <c r="E8" s="5">
        <v>140</v>
      </c>
      <c r="G8" s="5">
        <v>185</v>
      </c>
      <c r="K8" s="5">
        <v>57</v>
      </c>
      <c r="M8" s="5">
        <v>29</v>
      </c>
      <c r="O8" s="5">
        <v>239</v>
      </c>
      <c r="Q8" s="5">
        <v>6</v>
      </c>
      <c r="S8" s="5">
        <v>42</v>
      </c>
      <c r="U8" s="5">
        <f>424+27</f>
        <v>451</v>
      </c>
      <c r="W8" s="5">
        <v>64</v>
      </c>
      <c r="Y8">
        <f>72+20+28</f>
        <v>120</v>
      </c>
    </row>
    <row r="9" spans="1:25" x14ac:dyDescent="0.25">
      <c r="O9" s="5">
        <v>7</v>
      </c>
      <c r="S9" s="5">
        <v>18</v>
      </c>
      <c r="Y9">
        <v>44</v>
      </c>
    </row>
    <row r="11" spans="1:25" x14ac:dyDescent="0.25">
      <c r="C11" s="6"/>
      <c r="E11" s="6"/>
      <c r="G11" s="6"/>
      <c r="K11" s="6"/>
      <c r="M11" s="6"/>
      <c r="O11" s="6"/>
      <c r="Q11" s="6"/>
      <c r="S11" s="6"/>
      <c r="U11" s="6"/>
      <c r="W11" s="6"/>
    </row>
    <row r="12" spans="1:25" x14ac:dyDescent="0.25">
      <c r="C12" s="6"/>
      <c r="E12" s="6"/>
      <c r="G12" s="6"/>
      <c r="K12" s="6"/>
      <c r="M12" s="6"/>
      <c r="O12" s="6"/>
      <c r="S12" s="6"/>
      <c r="U12" s="6"/>
      <c r="W12" s="6"/>
    </row>
    <row r="13" spans="1:25" x14ac:dyDescent="0.25">
      <c r="C13" s="6"/>
      <c r="E13" s="6"/>
      <c r="G13" s="6"/>
      <c r="K13" s="6"/>
      <c r="M13" s="6"/>
      <c r="O13" s="6"/>
      <c r="Q13" s="6"/>
      <c r="S13" s="6"/>
      <c r="U13" s="6"/>
      <c r="W13" s="6"/>
    </row>
    <row r="14" spans="1:25" x14ac:dyDescent="0.25">
      <c r="C14" s="6"/>
      <c r="E14" s="6"/>
      <c r="G14" s="6"/>
      <c r="K14" s="6"/>
      <c r="M14" s="6"/>
      <c r="O14" s="6"/>
      <c r="Q14" s="6"/>
      <c r="S14" s="6"/>
      <c r="U14" s="6"/>
      <c r="W14" s="6"/>
    </row>
    <row r="15" spans="1:25" x14ac:dyDescent="0.25">
      <c r="C15" s="6"/>
      <c r="E15" s="6"/>
      <c r="G15" s="6"/>
      <c r="K15" s="6"/>
      <c r="M15" s="6"/>
      <c r="O15" s="6"/>
      <c r="S15" s="6"/>
      <c r="U15" s="6"/>
      <c r="W15" s="6"/>
    </row>
    <row r="16" spans="1:25" x14ac:dyDescent="0.25">
      <c r="C16" s="6"/>
      <c r="E16" s="6"/>
      <c r="G16" s="6"/>
      <c r="K16" s="6"/>
      <c r="M16" s="6"/>
      <c r="O16" s="6"/>
      <c r="Q16" s="6"/>
      <c r="S16" s="6"/>
      <c r="U16" s="6"/>
      <c r="W16" s="6"/>
    </row>
    <row r="17" spans="1:25" s="5" customFormat="1" x14ac:dyDescent="0.25">
      <c r="C17" s="6"/>
      <c r="E17" s="6"/>
      <c r="G17" s="6"/>
      <c r="K17" s="6"/>
      <c r="M17" s="6"/>
      <c r="O17" s="6"/>
      <c r="Q17" s="6"/>
      <c r="S17" s="6"/>
      <c r="U17" s="6"/>
      <c r="W17" s="6"/>
    </row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638</v>
      </c>
      <c r="E19" s="5">
        <f t="shared" ref="E19:W19" si="0">SUM(E8:E18)</f>
        <v>140</v>
      </c>
      <c r="G19" s="5">
        <f t="shared" si="0"/>
        <v>185</v>
      </c>
      <c r="I19" s="5">
        <f t="shared" si="0"/>
        <v>0</v>
      </c>
      <c r="K19" s="5">
        <f t="shared" si="0"/>
        <v>57</v>
      </c>
      <c r="M19" s="5">
        <f t="shared" si="0"/>
        <v>29</v>
      </c>
      <c r="O19" s="5">
        <f t="shared" si="0"/>
        <v>246</v>
      </c>
      <c r="Q19" s="5">
        <f t="shared" si="0"/>
        <v>6</v>
      </c>
      <c r="S19" s="5">
        <f t="shared" si="0"/>
        <v>60</v>
      </c>
      <c r="U19" s="5">
        <f t="shared" si="0"/>
        <v>451</v>
      </c>
      <c r="W19" s="5">
        <f t="shared" si="0"/>
        <v>64</v>
      </c>
      <c r="Y19">
        <f>SUM(Y8:Y18)</f>
        <v>164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1077</v>
      </c>
    </row>
    <row r="24" spans="1:25" x14ac:dyDescent="0.25">
      <c r="K24" s="5" t="s">
        <v>17</v>
      </c>
      <c r="O24" s="9">
        <f>+C19+E19+G19</f>
        <v>963</v>
      </c>
    </row>
    <row r="25" spans="1:25" x14ac:dyDescent="0.25">
      <c r="K25" s="5" t="s">
        <v>18</v>
      </c>
      <c r="O25" s="5">
        <f>+O23+O24</f>
        <v>2040</v>
      </c>
    </row>
    <row r="26" spans="1:25" x14ac:dyDescent="0.25">
      <c r="K26" s="6" t="s">
        <v>19</v>
      </c>
      <c r="O26" s="5">
        <v>10</v>
      </c>
    </row>
    <row r="27" spans="1:25" x14ac:dyDescent="0.25">
      <c r="K27" s="6" t="s">
        <v>20</v>
      </c>
      <c r="O27" s="9">
        <v>35</v>
      </c>
    </row>
    <row r="28" spans="1:25" x14ac:dyDescent="0.25">
      <c r="K28" s="6" t="s">
        <v>21</v>
      </c>
      <c r="O28" s="5">
        <f>+O25+O26+O27</f>
        <v>2085</v>
      </c>
    </row>
    <row r="30" spans="1:25" x14ac:dyDescent="0.25">
      <c r="K30" s="6" t="s">
        <v>22</v>
      </c>
    </row>
    <row r="31" spans="1:25" x14ac:dyDescent="0.25">
      <c r="K31" s="6" t="s">
        <v>76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v>27</v>
      </c>
    </row>
    <row r="35" spans="1:17" x14ac:dyDescent="0.25">
      <c r="K35" s="6" t="s">
        <v>21</v>
      </c>
      <c r="O35" s="5">
        <f>+O28+O30+O31+O32+O33</f>
        <v>2112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100+400+1+180+65+50+25+27</f>
        <v>848</v>
      </c>
      <c r="E43" s="5">
        <f>280+500+240+100+80+50+3</f>
        <v>1253</v>
      </c>
      <c r="G43" s="5">
        <f>100+500+200+180+95+50+19</f>
        <v>1144</v>
      </c>
      <c r="I43" s="5">
        <f>100+150+400+140+100+100+50+16</f>
        <v>1056</v>
      </c>
      <c r="K43" s="5">
        <f>200+500+140+90+50+15</f>
        <v>995</v>
      </c>
      <c r="M43" s="5">
        <f>350+180+80+70+50+20</f>
        <v>750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848</v>
      </c>
      <c r="E52" s="5">
        <f t="shared" ref="E52:Q52" si="1">SUM(E43:E51)</f>
        <v>1253</v>
      </c>
      <c r="G52" s="5">
        <f t="shared" si="1"/>
        <v>1144</v>
      </c>
      <c r="I52" s="5">
        <f t="shared" si="1"/>
        <v>1056</v>
      </c>
      <c r="K52" s="5">
        <f t="shared" si="1"/>
        <v>995</v>
      </c>
      <c r="M52" s="5">
        <f t="shared" si="1"/>
        <v>750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580</v>
      </c>
      <c r="F53" s="5"/>
      <c r="G53" s="7">
        <v>300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548</v>
      </c>
      <c r="E54" s="5">
        <f t="shared" ref="E54:M54" si="2">+E52-E53</f>
        <v>673</v>
      </c>
      <c r="G54" s="5">
        <f t="shared" si="2"/>
        <v>844</v>
      </c>
      <c r="I54" s="5">
        <f t="shared" si="2"/>
        <v>756</v>
      </c>
      <c r="K54" s="5">
        <f t="shared" si="2"/>
        <v>695</v>
      </c>
      <c r="M54" s="5">
        <f t="shared" si="2"/>
        <v>450</v>
      </c>
      <c r="Q54" s="5">
        <f>+C54+E54+G54+I54+K54+M54</f>
        <v>3966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548</v>
      </c>
      <c r="E60" s="5">
        <f t="shared" ref="E60:M60" si="3">+E54+E57</f>
        <v>673</v>
      </c>
      <c r="G60" s="5">
        <f t="shared" si="3"/>
        <v>844</v>
      </c>
      <c r="I60" s="5">
        <f t="shared" si="3"/>
        <v>756</v>
      </c>
      <c r="K60" s="5">
        <f t="shared" si="3"/>
        <v>695</v>
      </c>
      <c r="M60" s="5">
        <f t="shared" si="3"/>
        <v>450</v>
      </c>
      <c r="Q60" s="5">
        <f>+Q54+Q57</f>
        <v>3966</v>
      </c>
    </row>
    <row r="63" spans="1:36" s="8" customFormat="1" ht="15.75" thickBot="1" x14ac:dyDescent="0.3">
      <c r="A63" s="5" t="s">
        <v>39</v>
      </c>
      <c r="B63" s="5"/>
      <c r="C63" s="8">
        <f>+C60</f>
        <v>548</v>
      </c>
      <c r="E63" s="8">
        <f t="shared" ref="E63:Q63" si="4">+E60</f>
        <v>673</v>
      </c>
      <c r="G63" s="8">
        <f t="shared" si="4"/>
        <v>844</v>
      </c>
      <c r="I63" s="8">
        <f t="shared" si="4"/>
        <v>756</v>
      </c>
      <c r="K63" s="8">
        <f t="shared" si="4"/>
        <v>695</v>
      </c>
      <c r="M63" s="8">
        <f t="shared" si="4"/>
        <v>450</v>
      </c>
      <c r="O63" s="8">
        <f t="shared" si="4"/>
        <v>0</v>
      </c>
      <c r="Q63" s="8">
        <f t="shared" si="4"/>
        <v>3966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3" x14ac:dyDescent="0.25">
      <c r="A65" t="s">
        <v>40</v>
      </c>
      <c r="C65" s="5">
        <f>28+42+389</f>
        <v>459</v>
      </c>
      <c r="E65" s="5">
        <f>20+884</f>
        <v>904</v>
      </c>
      <c r="G65" s="5">
        <f>70+751</f>
        <v>821</v>
      </c>
      <c r="I65" s="5">
        <f>27+31+622</f>
        <v>680</v>
      </c>
      <c r="K65" s="5">
        <v>454</v>
      </c>
      <c r="M65" s="5">
        <v>496</v>
      </c>
    </row>
    <row r="67" spans="1:13" x14ac:dyDescent="0.25">
      <c r="A67" t="s">
        <v>42</v>
      </c>
    </row>
    <row r="68" spans="1:13" x14ac:dyDescent="0.25">
      <c r="A68" t="s">
        <v>41</v>
      </c>
      <c r="C68" s="10">
        <f>+Q60</f>
        <v>3966</v>
      </c>
      <c r="I68" s="5" t="s">
        <v>43</v>
      </c>
      <c r="K68" s="11">
        <f>+C65+E65+G65+I65+K65+M65+C68</f>
        <v>7780</v>
      </c>
    </row>
  </sheetData>
  <pageMargins left="0.7" right="0.7" top="0.75" bottom="0.75" header="0.3" footer="0.3"/>
  <pageSetup scale="72" orientation="landscape" r:id="rId1"/>
  <rowBreaks count="1" manualBreakCount="1">
    <brk id="37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topLeftCell="A32" zoomScaleNormal="100" workbookViewId="0">
      <selection activeCell="G32" sqref="G32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94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f>39+17</f>
        <v>56</v>
      </c>
      <c r="E8" s="5">
        <v>14</v>
      </c>
      <c r="G8" s="5">
        <v>18</v>
      </c>
      <c r="K8" s="5">
        <v>12</v>
      </c>
      <c r="M8" s="5">
        <v>1</v>
      </c>
      <c r="O8" s="5">
        <v>27</v>
      </c>
      <c r="Q8" s="5">
        <v>2</v>
      </c>
      <c r="S8" s="5">
        <v>4</v>
      </c>
      <c r="U8" s="5">
        <v>67</v>
      </c>
      <c r="W8" s="5">
        <v>8</v>
      </c>
      <c r="Y8">
        <v>4</v>
      </c>
    </row>
    <row r="9" spans="1:25" x14ac:dyDescent="0.25">
      <c r="C9" s="5">
        <v>59</v>
      </c>
      <c r="E9" s="5">
        <v>12</v>
      </c>
      <c r="G9" s="5">
        <v>16</v>
      </c>
      <c r="K9" s="5">
        <v>7</v>
      </c>
      <c r="M9" s="5">
        <v>5</v>
      </c>
      <c r="O9" s="5">
        <v>18</v>
      </c>
      <c r="S9" s="5">
        <v>3</v>
      </c>
      <c r="U9" s="5">
        <v>80</v>
      </c>
      <c r="W9" s="5">
        <v>15</v>
      </c>
      <c r="Y9">
        <v>9</v>
      </c>
    </row>
    <row r="10" spans="1:25" x14ac:dyDescent="0.25">
      <c r="C10" s="5">
        <v>30</v>
      </c>
      <c r="E10" s="5">
        <v>13</v>
      </c>
      <c r="G10" s="5">
        <v>14</v>
      </c>
      <c r="K10" s="5">
        <v>10</v>
      </c>
      <c r="O10" s="5">
        <v>4</v>
      </c>
      <c r="S10" s="5">
        <v>1</v>
      </c>
      <c r="U10" s="5">
        <v>27</v>
      </c>
      <c r="W10" s="5">
        <v>4</v>
      </c>
      <c r="Y10">
        <v>5</v>
      </c>
    </row>
    <row r="11" spans="1:25" x14ac:dyDescent="0.25">
      <c r="C11" s="6">
        <v>53</v>
      </c>
      <c r="E11" s="6">
        <v>8</v>
      </c>
      <c r="G11" s="6">
        <v>30</v>
      </c>
      <c r="K11" s="6">
        <v>6</v>
      </c>
      <c r="M11" s="6">
        <v>1</v>
      </c>
      <c r="O11" s="6">
        <v>16</v>
      </c>
      <c r="Q11" s="6"/>
      <c r="S11" s="6">
        <v>2</v>
      </c>
      <c r="U11" s="6">
        <v>32</v>
      </c>
      <c r="W11" s="6">
        <v>5</v>
      </c>
      <c r="Y11">
        <v>10</v>
      </c>
    </row>
    <row r="12" spans="1:25" x14ac:dyDescent="0.25">
      <c r="C12" s="6">
        <v>53</v>
      </c>
      <c r="E12" s="6">
        <v>5</v>
      </c>
      <c r="G12" s="6">
        <v>18</v>
      </c>
      <c r="K12" s="6">
        <v>7</v>
      </c>
      <c r="M12" s="6">
        <v>1</v>
      </c>
      <c r="O12" s="6">
        <v>12</v>
      </c>
      <c r="S12" s="6">
        <v>2</v>
      </c>
      <c r="U12" s="6">
        <v>36</v>
      </c>
      <c r="W12" s="6">
        <v>7</v>
      </c>
      <c r="Y12">
        <v>4</v>
      </c>
    </row>
    <row r="13" spans="1:25" x14ac:dyDescent="0.25">
      <c r="C13" s="6">
        <v>43</v>
      </c>
      <c r="E13" s="6">
        <v>8</v>
      </c>
      <c r="G13" s="6">
        <v>14</v>
      </c>
      <c r="K13" s="6">
        <v>7</v>
      </c>
      <c r="M13" s="6">
        <v>2</v>
      </c>
      <c r="O13" s="6">
        <v>32</v>
      </c>
      <c r="Q13" s="6"/>
      <c r="S13" s="6">
        <v>4</v>
      </c>
      <c r="U13" s="6">
        <v>62</v>
      </c>
      <c r="W13" s="6">
        <v>28</v>
      </c>
      <c r="Y13">
        <v>15</v>
      </c>
    </row>
    <row r="14" spans="1:25" x14ac:dyDescent="0.25">
      <c r="C14" s="6">
        <v>41</v>
      </c>
      <c r="E14" s="6">
        <v>11</v>
      </c>
      <c r="G14" s="6">
        <v>16</v>
      </c>
      <c r="K14" s="6">
        <v>6</v>
      </c>
      <c r="M14" s="6"/>
      <c r="O14" s="6">
        <v>21</v>
      </c>
      <c r="Q14" s="6"/>
      <c r="S14" s="6">
        <v>1</v>
      </c>
      <c r="U14" s="6">
        <v>29</v>
      </c>
      <c r="W14" s="6"/>
      <c r="Y14">
        <v>7</v>
      </c>
    </row>
    <row r="15" spans="1:25" x14ac:dyDescent="0.25">
      <c r="C15" s="6">
        <v>86</v>
      </c>
      <c r="E15" s="6">
        <v>12</v>
      </c>
      <c r="G15" s="6">
        <v>35</v>
      </c>
      <c r="K15" s="6">
        <v>12</v>
      </c>
      <c r="M15" s="6">
        <v>5</v>
      </c>
      <c r="O15" s="6">
        <v>18</v>
      </c>
      <c r="S15" s="6">
        <v>4</v>
      </c>
      <c r="U15" s="6">
        <v>47</v>
      </c>
      <c r="W15" s="6">
        <v>26</v>
      </c>
      <c r="Y15">
        <v>9</v>
      </c>
    </row>
    <row r="16" spans="1:25" x14ac:dyDescent="0.25">
      <c r="C16" s="6">
        <v>25</v>
      </c>
      <c r="E16" s="6">
        <v>12</v>
      </c>
      <c r="G16" s="6">
        <v>8</v>
      </c>
      <c r="K16" s="6">
        <v>6</v>
      </c>
      <c r="M16" s="6"/>
      <c r="O16" s="6">
        <v>20</v>
      </c>
      <c r="Q16" s="6"/>
      <c r="S16" s="6">
        <v>3</v>
      </c>
      <c r="U16" s="6">
        <v>35</v>
      </c>
      <c r="W16" s="6">
        <v>10</v>
      </c>
      <c r="Y16">
        <v>14</v>
      </c>
    </row>
    <row r="17" spans="1:25" s="5" customFormat="1" x14ac:dyDescent="0.25">
      <c r="C17" s="6">
        <v>26</v>
      </c>
      <c r="E17" s="6">
        <v>7</v>
      </c>
      <c r="G17" s="6">
        <v>4</v>
      </c>
      <c r="K17" s="6">
        <v>3</v>
      </c>
      <c r="M17" s="6"/>
      <c r="O17" s="6">
        <v>23</v>
      </c>
      <c r="Q17" s="6"/>
      <c r="S17" s="6"/>
      <c r="U17" s="6">
        <v>29</v>
      </c>
      <c r="W17" s="6">
        <v>2</v>
      </c>
      <c r="Y17" s="5">
        <v>14</v>
      </c>
    </row>
    <row r="18" spans="1:25" x14ac:dyDescent="0.25">
      <c r="C18" s="9">
        <v>48</v>
      </c>
      <c r="E18" s="9">
        <v>12</v>
      </c>
      <c r="G18" s="9">
        <v>19</v>
      </c>
      <c r="I18" s="9"/>
      <c r="K18" s="9">
        <v>6</v>
      </c>
      <c r="M18" s="9"/>
      <c r="O18" s="9">
        <v>2</v>
      </c>
      <c r="Q18" s="9"/>
      <c r="S18" s="9">
        <v>2</v>
      </c>
      <c r="U18" s="9">
        <v>31</v>
      </c>
      <c r="W18" s="9">
        <v>11</v>
      </c>
      <c r="Y18" s="9">
        <v>18</v>
      </c>
    </row>
    <row r="19" spans="1:25" x14ac:dyDescent="0.25">
      <c r="A19" t="s">
        <v>13</v>
      </c>
      <c r="C19" s="5">
        <f>SUM(C8:C18)</f>
        <v>520</v>
      </c>
      <c r="E19" s="5">
        <f t="shared" ref="E19:W19" si="0">SUM(E8:E18)</f>
        <v>114</v>
      </c>
      <c r="G19" s="5">
        <f t="shared" si="0"/>
        <v>192</v>
      </c>
      <c r="I19" s="5">
        <f t="shared" si="0"/>
        <v>0</v>
      </c>
      <c r="K19" s="5">
        <f t="shared" si="0"/>
        <v>82</v>
      </c>
      <c r="M19" s="5">
        <f t="shared" si="0"/>
        <v>15</v>
      </c>
      <c r="O19" s="5">
        <f t="shared" si="0"/>
        <v>193</v>
      </c>
      <c r="Q19" s="5">
        <f t="shared" si="0"/>
        <v>2</v>
      </c>
      <c r="S19" s="5">
        <f t="shared" si="0"/>
        <v>26</v>
      </c>
      <c r="U19" s="5">
        <f t="shared" si="0"/>
        <v>475</v>
      </c>
      <c r="W19" s="5">
        <f t="shared" si="0"/>
        <v>116</v>
      </c>
      <c r="Y19">
        <f>SUM(Y8:Y18)</f>
        <v>109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1018</v>
      </c>
    </row>
    <row r="24" spans="1:25" x14ac:dyDescent="0.25">
      <c r="K24" s="5" t="s">
        <v>17</v>
      </c>
      <c r="O24" s="9">
        <f>+C19+E19+G19</f>
        <v>826</v>
      </c>
    </row>
    <row r="25" spans="1:25" x14ac:dyDescent="0.25">
      <c r="K25" s="5" t="s">
        <v>18</v>
      </c>
      <c r="O25" s="5">
        <f>+O23+O24</f>
        <v>1844</v>
      </c>
    </row>
    <row r="26" spans="1:25" x14ac:dyDescent="0.25">
      <c r="K26" s="6" t="s">
        <v>19</v>
      </c>
      <c r="O26" s="5">
        <v>11</v>
      </c>
    </row>
    <row r="27" spans="1:25" x14ac:dyDescent="0.25">
      <c r="K27" s="6" t="s">
        <v>20</v>
      </c>
      <c r="O27" s="9">
        <v>42</v>
      </c>
    </row>
    <row r="28" spans="1:25" x14ac:dyDescent="0.25">
      <c r="K28" s="6" t="s">
        <v>21</v>
      </c>
      <c r="O28" s="5">
        <f>+O25+O26+O27</f>
        <v>1897</v>
      </c>
    </row>
    <row r="30" spans="1:25" x14ac:dyDescent="0.25">
      <c r="K30" s="6" t="s">
        <v>22</v>
      </c>
    </row>
    <row r="31" spans="1:25" x14ac:dyDescent="0.25">
      <c r="K31" s="6" t="s">
        <v>76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/>
    </row>
    <row r="35" spans="1:17" x14ac:dyDescent="0.25">
      <c r="K35" s="6" t="s">
        <v>21</v>
      </c>
      <c r="O35" s="5">
        <f>+O28+O30+O31+O32+O33</f>
        <v>1897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460+160+65+75+3</f>
        <v>763</v>
      </c>
      <c r="E43" s="5">
        <f>150+500+180+160+110+50+21+280</f>
        <v>1451</v>
      </c>
      <c r="G43" s="5">
        <f>360+10+80+50+12</f>
        <v>512</v>
      </c>
      <c r="I43" s="5">
        <f>100+420+180+75+50+22</f>
        <v>847</v>
      </c>
      <c r="K43" s="5">
        <f>200+440+40+65+50+16</f>
        <v>811</v>
      </c>
      <c r="M43" s="5">
        <f>200+240+150+60+50+18</f>
        <v>718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763</v>
      </c>
      <c r="E52" s="5">
        <f t="shared" ref="E52:Q52" si="1">SUM(E43:E51)</f>
        <v>1451</v>
      </c>
      <c r="G52" s="5">
        <f t="shared" si="1"/>
        <v>512</v>
      </c>
      <c r="I52" s="5">
        <f t="shared" si="1"/>
        <v>847</v>
      </c>
      <c r="K52" s="5">
        <f t="shared" si="1"/>
        <v>811</v>
      </c>
      <c r="M52" s="5">
        <f t="shared" si="1"/>
        <v>718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580</v>
      </c>
      <c r="F53" s="5"/>
      <c r="G53" s="7">
        <v>300</v>
      </c>
      <c r="H53" s="5"/>
      <c r="I53" s="7">
        <v>300</v>
      </c>
      <c r="J53" s="5"/>
      <c r="K53" s="7">
        <v>300</v>
      </c>
      <c r="L53" s="5"/>
      <c r="M53" s="7">
        <v>300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463</v>
      </c>
      <c r="E54" s="5">
        <f t="shared" ref="E54:M54" si="2">+E52-E53</f>
        <v>871</v>
      </c>
      <c r="G54" s="5">
        <f t="shared" si="2"/>
        <v>212</v>
      </c>
      <c r="I54" s="5">
        <f t="shared" si="2"/>
        <v>547</v>
      </c>
      <c r="K54" s="5">
        <f t="shared" si="2"/>
        <v>511</v>
      </c>
      <c r="M54" s="5">
        <f t="shared" si="2"/>
        <v>418</v>
      </c>
      <c r="Q54" s="5">
        <f>+C54+E54+G54+I54+K54+M54</f>
        <v>3022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463</v>
      </c>
      <c r="E60" s="5">
        <f t="shared" ref="E60:M60" si="3">+E54+E57</f>
        <v>871</v>
      </c>
      <c r="G60" s="5">
        <f t="shared" si="3"/>
        <v>212</v>
      </c>
      <c r="I60" s="5">
        <f t="shared" si="3"/>
        <v>547</v>
      </c>
      <c r="K60" s="5">
        <f t="shared" si="3"/>
        <v>511</v>
      </c>
      <c r="M60" s="5">
        <f t="shared" si="3"/>
        <v>418</v>
      </c>
      <c r="Q60" s="5">
        <f>+Q54+Q57</f>
        <v>3022</v>
      </c>
    </row>
    <row r="63" spans="1:36" s="8" customFormat="1" ht="15.75" thickBot="1" x14ac:dyDescent="0.3">
      <c r="A63" s="5" t="s">
        <v>39</v>
      </c>
      <c r="B63" s="5"/>
      <c r="C63" s="8">
        <f>+C60</f>
        <v>463</v>
      </c>
      <c r="E63" s="8">
        <f t="shared" ref="E63:Q63" si="4">+E60</f>
        <v>871</v>
      </c>
      <c r="G63" s="8">
        <f t="shared" si="4"/>
        <v>212</v>
      </c>
      <c r="I63" s="8">
        <f t="shared" si="4"/>
        <v>547</v>
      </c>
      <c r="K63" s="8">
        <f t="shared" si="4"/>
        <v>511</v>
      </c>
      <c r="M63" s="8">
        <f t="shared" si="4"/>
        <v>418</v>
      </c>
      <c r="O63" s="8">
        <f t="shared" si="4"/>
        <v>0</v>
      </c>
      <c r="Q63" s="8">
        <f t="shared" si="4"/>
        <v>3022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3" x14ac:dyDescent="0.25">
      <c r="A65" t="s">
        <v>40</v>
      </c>
      <c r="C65" s="5">
        <v>482</v>
      </c>
      <c r="E65" s="5">
        <f>17+204+859</f>
        <v>1080</v>
      </c>
      <c r="G65" s="5">
        <v>538</v>
      </c>
      <c r="I65" s="5">
        <f>77+401</f>
        <v>478</v>
      </c>
      <c r="K65" s="5">
        <v>581</v>
      </c>
      <c r="M65" s="5">
        <f>30+372</f>
        <v>402</v>
      </c>
    </row>
    <row r="67" spans="1:13" x14ac:dyDescent="0.25">
      <c r="A67" t="s">
        <v>42</v>
      </c>
    </row>
    <row r="68" spans="1:13" x14ac:dyDescent="0.25">
      <c r="A68" t="s">
        <v>41</v>
      </c>
      <c r="C68" s="10">
        <f>+Q60</f>
        <v>3022</v>
      </c>
      <c r="I68" s="5" t="s">
        <v>43</v>
      </c>
      <c r="K68" s="11">
        <f>+C65+E65+G65+I65+K65+M65+C68</f>
        <v>6583</v>
      </c>
    </row>
  </sheetData>
  <pageMargins left="0.7" right="0.7" top="0.75" bottom="0.75" header="0.3" footer="0.3"/>
  <pageSetup scale="72" orientation="landscape" r:id="rId1"/>
  <rowBreaks count="1" manualBreakCount="1">
    <brk id="38" max="16383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topLeftCell="A34" zoomScaleNormal="100" workbookViewId="0">
      <selection activeCell="I44" sqref="I44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95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25</v>
      </c>
      <c r="E8" s="5">
        <v>3</v>
      </c>
      <c r="G8" s="5">
        <v>2</v>
      </c>
      <c r="K8" s="5">
        <v>6</v>
      </c>
      <c r="O8" s="5">
        <v>21</v>
      </c>
      <c r="S8" s="5">
        <v>8</v>
      </c>
      <c r="U8" s="5">
        <v>25</v>
      </c>
      <c r="W8" s="5">
        <v>12</v>
      </c>
      <c r="Y8">
        <v>14</v>
      </c>
    </row>
    <row r="9" spans="1:25" x14ac:dyDescent="0.25">
      <c r="C9" s="5">
        <v>8</v>
      </c>
      <c r="E9" s="5">
        <v>1</v>
      </c>
      <c r="G9" s="5">
        <v>7</v>
      </c>
      <c r="K9" s="5">
        <v>2</v>
      </c>
      <c r="O9" s="5">
        <v>4</v>
      </c>
      <c r="U9" s="5">
        <v>12</v>
      </c>
      <c r="W9" s="5">
        <v>8</v>
      </c>
      <c r="Y9">
        <v>4</v>
      </c>
    </row>
    <row r="10" spans="1:25" x14ac:dyDescent="0.25">
      <c r="C10" s="5">
        <v>17</v>
      </c>
      <c r="G10" s="5">
        <v>4</v>
      </c>
      <c r="K10" s="5">
        <v>14</v>
      </c>
      <c r="M10" s="5">
        <v>2</v>
      </c>
      <c r="O10" s="5">
        <v>19</v>
      </c>
      <c r="S10" s="5">
        <v>2</v>
      </c>
      <c r="U10" s="5">
        <v>39</v>
      </c>
      <c r="W10" s="5">
        <v>2</v>
      </c>
    </row>
    <row r="11" spans="1:25" x14ac:dyDescent="0.25">
      <c r="C11" s="6">
        <v>44</v>
      </c>
      <c r="E11" s="6">
        <v>3</v>
      </c>
      <c r="G11" s="6">
        <v>5</v>
      </c>
      <c r="K11" s="6">
        <v>4</v>
      </c>
      <c r="M11" s="6"/>
      <c r="O11" s="6"/>
      <c r="Q11" s="6"/>
      <c r="S11" s="6"/>
      <c r="U11" s="6">
        <v>30</v>
      </c>
      <c r="W11" s="6">
        <v>15</v>
      </c>
      <c r="Y11">
        <v>2</v>
      </c>
    </row>
    <row r="12" spans="1:25" x14ac:dyDescent="0.25">
      <c r="C12" s="6">
        <v>70</v>
      </c>
      <c r="E12" s="6">
        <v>16</v>
      </c>
      <c r="G12" s="6">
        <v>18</v>
      </c>
      <c r="K12" s="6"/>
      <c r="M12" s="6"/>
      <c r="O12" s="6">
        <v>37</v>
      </c>
      <c r="Q12" s="5">
        <v>5</v>
      </c>
      <c r="S12" s="6">
        <v>8</v>
      </c>
      <c r="U12" s="6">
        <v>67</v>
      </c>
      <c r="W12" s="6">
        <v>7</v>
      </c>
      <c r="Y12">
        <v>10</v>
      </c>
    </row>
    <row r="13" spans="1:25" x14ac:dyDescent="0.25">
      <c r="C13" s="6">
        <v>24</v>
      </c>
      <c r="E13" s="6">
        <v>9</v>
      </c>
      <c r="G13" s="6">
        <v>15</v>
      </c>
      <c r="K13" s="6">
        <v>7</v>
      </c>
      <c r="M13" s="6">
        <v>1</v>
      </c>
      <c r="O13" s="6">
        <v>14</v>
      </c>
      <c r="Q13" s="6"/>
      <c r="S13" s="6"/>
      <c r="U13" s="6">
        <v>18</v>
      </c>
      <c r="W13" s="6">
        <v>8</v>
      </c>
      <c r="Y13">
        <v>6</v>
      </c>
    </row>
    <row r="14" spans="1:25" x14ac:dyDescent="0.25">
      <c r="C14" s="6">
        <v>8</v>
      </c>
      <c r="E14" s="6"/>
      <c r="G14" s="6">
        <v>6</v>
      </c>
      <c r="K14" s="6">
        <v>8</v>
      </c>
      <c r="M14" s="6"/>
      <c r="O14" s="6">
        <v>4</v>
      </c>
      <c r="Q14" s="6"/>
      <c r="S14" s="6"/>
      <c r="U14" s="6">
        <v>3</v>
      </c>
      <c r="W14" s="6"/>
      <c r="Y14">
        <v>42</v>
      </c>
    </row>
    <row r="15" spans="1:25" x14ac:dyDescent="0.25">
      <c r="C15" s="6"/>
      <c r="E15" s="6"/>
      <c r="G15" s="6"/>
      <c r="K15" s="6"/>
      <c r="M15" s="6"/>
      <c r="O15" s="6"/>
      <c r="S15" s="6"/>
      <c r="U15" s="6"/>
      <c r="W15" s="6"/>
    </row>
    <row r="16" spans="1:25" x14ac:dyDescent="0.25">
      <c r="C16" s="6"/>
      <c r="E16" s="6"/>
      <c r="G16" s="6"/>
      <c r="K16" s="6"/>
      <c r="M16" s="6"/>
      <c r="O16" s="6"/>
      <c r="Q16" s="6"/>
      <c r="S16" s="6"/>
      <c r="U16" s="6"/>
      <c r="W16" s="6"/>
    </row>
    <row r="17" spans="1:25" s="5" customFormat="1" x14ac:dyDescent="0.25">
      <c r="C17" s="6"/>
      <c r="E17" s="6"/>
      <c r="G17" s="6"/>
      <c r="K17" s="6"/>
      <c r="M17" s="6"/>
      <c r="O17" s="6"/>
      <c r="Q17" s="6"/>
      <c r="S17" s="6"/>
      <c r="U17" s="6"/>
      <c r="W17" s="6"/>
    </row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196</v>
      </c>
      <c r="E19" s="5">
        <f t="shared" ref="E19:W19" si="0">SUM(E8:E18)</f>
        <v>32</v>
      </c>
      <c r="G19" s="5">
        <f t="shared" si="0"/>
        <v>57</v>
      </c>
      <c r="I19" s="5">
        <f t="shared" si="0"/>
        <v>0</v>
      </c>
      <c r="K19" s="5">
        <f t="shared" si="0"/>
        <v>41</v>
      </c>
      <c r="M19" s="5">
        <f t="shared" si="0"/>
        <v>3</v>
      </c>
      <c r="O19" s="5">
        <f t="shared" si="0"/>
        <v>99</v>
      </c>
      <c r="Q19" s="5">
        <f t="shared" si="0"/>
        <v>5</v>
      </c>
      <c r="S19" s="5">
        <f t="shared" si="0"/>
        <v>18</v>
      </c>
      <c r="U19" s="5">
        <f t="shared" si="0"/>
        <v>194</v>
      </c>
      <c r="W19" s="5">
        <f t="shared" si="0"/>
        <v>52</v>
      </c>
      <c r="Y19">
        <f>SUM(Y8:Y18)</f>
        <v>78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490</v>
      </c>
    </row>
    <row r="24" spans="1:25" x14ac:dyDescent="0.25">
      <c r="K24" s="5" t="s">
        <v>17</v>
      </c>
      <c r="O24" s="9">
        <f>+C19+E19+G19</f>
        <v>285</v>
      </c>
    </row>
    <row r="25" spans="1:25" x14ac:dyDescent="0.25">
      <c r="K25" s="5" t="s">
        <v>18</v>
      </c>
      <c r="O25" s="5">
        <f>+O23+O24</f>
        <v>775</v>
      </c>
    </row>
    <row r="26" spans="1:25" x14ac:dyDescent="0.25">
      <c r="K26" s="6" t="s">
        <v>19</v>
      </c>
      <c r="O26" s="5">
        <v>11</v>
      </c>
    </row>
    <row r="27" spans="1:25" x14ac:dyDescent="0.25">
      <c r="K27" s="6" t="s">
        <v>20</v>
      </c>
      <c r="O27" s="9">
        <v>22</v>
      </c>
    </row>
    <row r="28" spans="1:25" x14ac:dyDescent="0.25">
      <c r="K28" s="6" t="s">
        <v>21</v>
      </c>
      <c r="O28" s="5">
        <f>+O25+O26+O27</f>
        <v>808</v>
      </c>
    </row>
    <row r="30" spans="1:25" x14ac:dyDescent="0.25">
      <c r="K30" s="6" t="s">
        <v>22</v>
      </c>
    </row>
    <row r="31" spans="1:25" x14ac:dyDescent="0.25">
      <c r="K31" s="6" t="s">
        <v>76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>
        <f>39+33</f>
        <v>72</v>
      </c>
    </row>
    <row r="35" spans="1:17" x14ac:dyDescent="0.25">
      <c r="K35" s="6" t="s">
        <v>21</v>
      </c>
      <c r="O35" s="5">
        <f>+O28+O30+O31+O32+O33</f>
        <v>880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50+13+65+150+250+300</f>
        <v>828</v>
      </c>
      <c r="E43" s="5">
        <f>300+50+300+130+75+50+8</f>
        <v>913</v>
      </c>
      <c r="G43" s="5">
        <f>300+50+12+75+120+220</f>
        <v>777</v>
      </c>
      <c r="I43" s="5">
        <f>75+75+150+300</f>
        <v>600</v>
      </c>
      <c r="K43" s="5">
        <v>0</v>
      </c>
      <c r="M43" s="5">
        <v>0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828</v>
      </c>
      <c r="E52" s="5">
        <f t="shared" ref="E52:Q52" si="1">SUM(E43:E51)</f>
        <v>913</v>
      </c>
      <c r="G52" s="5">
        <f t="shared" si="1"/>
        <v>777</v>
      </c>
      <c r="I52" s="5">
        <f t="shared" si="1"/>
        <v>600</v>
      </c>
      <c r="K52" s="5">
        <f t="shared" si="1"/>
        <v>0</v>
      </c>
      <c r="M52" s="5">
        <f t="shared" si="1"/>
        <v>0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C53" s="7">
        <v>300</v>
      </c>
      <c r="D53" s="5"/>
      <c r="E53" s="7">
        <v>300</v>
      </c>
      <c r="F53" s="5"/>
      <c r="G53" s="7">
        <v>300</v>
      </c>
      <c r="H53" s="5"/>
      <c r="I53" s="7">
        <v>300</v>
      </c>
      <c r="J53" s="5"/>
      <c r="K53" s="7">
        <v>0</v>
      </c>
      <c r="L53" s="5"/>
      <c r="M53" s="7">
        <v>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528</v>
      </c>
      <c r="E54" s="5">
        <f t="shared" ref="E54:M54" si="2">+E52-E53</f>
        <v>613</v>
      </c>
      <c r="G54" s="5">
        <f t="shared" si="2"/>
        <v>477</v>
      </c>
      <c r="I54" s="5">
        <f t="shared" si="2"/>
        <v>300</v>
      </c>
      <c r="K54" s="5">
        <f t="shared" si="2"/>
        <v>0</v>
      </c>
      <c r="M54" s="5">
        <f t="shared" si="2"/>
        <v>0</v>
      </c>
      <c r="Q54" s="5">
        <f>+C54+E54+G54+I54+K54+M54</f>
        <v>1918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528</v>
      </c>
      <c r="E60" s="5">
        <f t="shared" ref="E60:M60" si="3">+E54+E57</f>
        <v>613</v>
      </c>
      <c r="G60" s="5">
        <f t="shared" si="3"/>
        <v>477</v>
      </c>
      <c r="I60" s="5">
        <f t="shared" si="3"/>
        <v>300</v>
      </c>
      <c r="K60" s="5">
        <f t="shared" si="3"/>
        <v>0</v>
      </c>
      <c r="M60" s="5">
        <f t="shared" si="3"/>
        <v>0</v>
      </c>
      <c r="Q60" s="5">
        <f>+Q54+Q57</f>
        <v>1918</v>
      </c>
    </row>
    <row r="63" spans="1:36" s="8" customFormat="1" ht="15.75" thickBot="1" x14ac:dyDescent="0.3">
      <c r="A63" s="5" t="s">
        <v>39</v>
      </c>
      <c r="B63" s="5"/>
      <c r="C63" s="8">
        <f>+C60</f>
        <v>528</v>
      </c>
      <c r="E63" s="8">
        <f t="shared" ref="E63:Q63" si="4">+E60</f>
        <v>613</v>
      </c>
      <c r="G63" s="8">
        <f t="shared" si="4"/>
        <v>477</v>
      </c>
      <c r="I63" s="8">
        <f t="shared" si="4"/>
        <v>300</v>
      </c>
      <c r="K63" s="8">
        <f t="shared" si="4"/>
        <v>0</v>
      </c>
      <c r="M63" s="8">
        <f t="shared" si="4"/>
        <v>0</v>
      </c>
      <c r="O63" s="8">
        <f t="shared" si="4"/>
        <v>0</v>
      </c>
      <c r="Q63" s="8">
        <f t="shared" si="4"/>
        <v>1918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1" x14ac:dyDescent="0.25">
      <c r="A65" t="s">
        <v>40</v>
      </c>
      <c r="C65" s="5">
        <f>27+195</f>
        <v>222</v>
      </c>
      <c r="E65" s="5">
        <f>20+474</f>
        <v>494</v>
      </c>
      <c r="G65" s="5">
        <f>20+315</f>
        <v>335</v>
      </c>
    </row>
    <row r="67" spans="1:11" x14ac:dyDescent="0.25">
      <c r="A67" t="s">
        <v>42</v>
      </c>
    </row>
    <row r="68" spans="1:11" x14ac:dyDescent="0.25">
      <c r="A68" t="s">
        <v>41</v>
      </c>
      <c r="C68" s="10">
        <f>+Q60</f>
        <v>1918</v>
      </c>
      <c r="I68" s="5" t="s">
        <v>43</v>
      </c>
      <c r="K68" s="11">
        <f>+C65+E65+G65+I65+K65+M65+C68</f>
        <v>2969</v>
      </c>
    </row>
  </sheetData>
  <pageMargins left="0.7" right="0.7" top="0.75" bottom="0.75" header="0.3" footer="0.3"/>
  <pageSetup scale="69" orientation="landscape" r:id="rId1"/>
  <rowBreaks count="1" manualBreakCount="1">
    <brk id="38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68"/>
  <sheetViews>
    <sheetView topLeftCell="A16" zoomScaleNormal="100" workbookViewId="0">
      <selection activeCell="K47" sqref="K47"/>
    </sheetView>
  </sheetViews>
  <sheetFormatPr defaultRowHeight="15" x14ac:dyDescent="0.25"/>
  <cols>
    <col min="1" max="1" width="15.42578125" customWidth="1"/>
    <col min="2" max="2" width="3.140625" style="5" customWidth="1"/>
    <col min="3" max="3" width="11.28515625" style="5" customWidth="1"/>
    <col min="4" max="4" width="3.140625" style="5" customWidth="1"/>
    <col min="5" max="5" width="9.85546875" style="5" customWidth="1"/>
    <col min="6" max="6" width="3.140625" style="5" customWidth="1"/>
    <col min="7" max="7" width="9.85546875" style="5" customWidth="1"/>
    <col min="8" max="8" width="3.140625" style="5" customWidth="1"/>
    <col min="9" max="9" width="6" style="5" customWidth="1"/>
    <col min="10" max="10" width="3.140625" style="5" customWidth="1"/>
    <col min="11" max="11" width="11.5703125" style="5" customWidth="1"/>
    <col min="12" max="12" width="3.140625" style="5" customWidth="1"/>
    <col min="13" max="13" width="9.85546875" style="5" customWidth="1"/>
    <col min="14" max="14" width="3.140625" style="5" customWidth="1"/>
    <col min="15" max="15" width="9.140625" style="5"/>
    <col min="16" max="16" width="3.140625" style="5" customWidth="1"/>
    <col min="17" max="17" width="9.85546875" style="5" customWidth="1"/>
    <col min="18" max="18" width="3.140625" style="5" customWidth="1"/>
    <col min="19" max="19" width="9.85546875" style="5" customWidth="1"/>
    <col min="20" max="20" width="3.140625" style="5" customWidth="1"/>
    <col min="21" max="21" width="9.85546875" style="5" customWidth="1"/>
    <col min="22" max="22" width="3.140625" style="5" customWidth="1"/>
    <col min="23" max="23" width="9.85546875" style="5" customWidth="1"/>
    <col min="24" max="24" width="3.140625" style="5" customWidth="1"/>
  </cols>
  <sheetData>
    <row r="3" spans="1:25" s="2" customFormat="1" x14ac:dyDescent="0.25">
      <c r="A3" s="2" t="s">
        <v>96</v>
      </c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7" spans="1:25" s="1" customFormat="1" ht="30" x14ac:dyDescent="0.25">
      <c r="A7" s="1" t="s">
        <v>2</v>
      </c>
      <c r="B7" s="4"/>
      <c r="C7" s="4" t="s">
        <v>3</v>
      </c>
      <c r="D7" s="4"/>
      <c r="E7" s="4" t="s">
        <v>4</v>
      </c>
      <c r="F7" s="4"/>
      <c r="G7" s="4" t="s">
        <v>5</v>
      </c>
      <c r="H7" s="4"/>
      <c r="I7" s="4"/>
      <c r="J7" s="4"/>
      <c r="K7" s="4" t="s">
        <v>6</v>
      </c>
      <c r="L7" s="4"/>
      <c r="M7" s="4" t="s">
        <v>7</v>
      </c>
      <c r="N7" s="4"/>
      <c r="O7" s="4" t="s">
        <v>8</v>
      </c>
      <c r="P7" s="4"/>
      <c r="Q7" s="4" t="s">
        <v>45</v>
      </c>
      <c r="R7" s="4"/>
      <c r="S7" s="4" t="s">
        <v>9</v>
      </c>
      <c r="T7" s="4"/>
      <c r="U7" s="4" t="s">
        <v>11</v>
      </c>
      <c r="V7" s="4"/>
      <c r="W7" s="4" t="s">
        <v>12</v>
      </c>
      <c r="X7" s="4"/>
      <c r="Y7" s="1" t="s">
        <v>10</v>
      </c>
    </row>
    <row r="8" spans="1:25" x14ac:dyDescent="0.25">
      <c r="C8" s="5">
        <v>100</v>
      </c>
      <c r="E8" s="5">
        <v>26</v>
      </c>
      <c r="G8" s="5">
        <v>9</v>
      </c>
      <c r="K8" s="5">
        <v>17</v>
      </c>
      <c r="M8" s="5">
        <v>2</v>
      </c>
      <c r="O8" s="5">
        <v>37</v>
      </c>
      <c r="Q8" s="5">
        <v>3</v>
      </c>
      <c r="S8" s="5">
        <v>18</v>
      </c>
      <c r="U8" s="5">
        <f>95+12</f>
        <v>107</v>
      </c>
      <c r="W8" s="5">
        <v>28</v>
      </c>
      <c r="Y8">
        <f>27+6+3</f>
        <v>36</v>
      </c>
    </row>
    <row r="9" spans="1:25" x14ac:dyDescent="0.25">
      <c r="O9" s="5">
        <v>4</v>
      </c>
    </row>
    <row r="11" spans="1:25" x14ac:dyDescent="0.25">
      <c r="C11" s="6"/>
      <c r="E11" s="6"/>
      <c r="G11" s="6"/>
      <c r="K11" s="6"/>
      <c r="M11" s="6"/>
      <c r="O11" s="6"/>
      <c r="Q11" s="6"/>
      <c r="S11" s="6"/>
      <c r="U11" s="6"/>
      <c r="W11" s="6"/>
    </row>
    <row r="12" spans="1:25" x14ac:dyDescent="0.25">
      <c r="C12" s="6"/>
      <c r="E12" s="6"/>
      <c r="G12" s="6"/>
      <c r="K12" s="6"/>
      <c r="M12" s="6"/>
      <c r="O12" s="6"/>
      <c r="S12" s="6"/>
      <c r="U12" s="6"/>
      <c r="W12" s="6"/>
    </row>
    <row r="13" spans="1:25" x14ac:dyDescent="0.25">
      <c r="C13" s="6"/>
      <c r="E13" s="6"/>
      <c r="G13" s="6"/>
      <c r="K13" s="6"/>
      <c r="M13" s="6"/>
      <c r="O13" s="6"/>
      <c r="Q13" s="6"/>
      <c r="S13" s="6"/>
      <c r="U13" s="6"/>
      <c r="W13" s="6"/>
    </row>
    <row r="14" spans="1:25" x14ac:dyDescent="0.25">
      <c r="C14" s="6"/>
      <c r="E14" s="6"/>
      <c r="G14" s="6"/>
      <c r="K14" s="6"/>
      <c r="M14" s="6"/>
      <c r="O14" s="6"/>
      <c r="Q14" s="6"/>
      <c r="S14" s="6"/>
      <c r="U14" s="6"/>
      <c r="W14" s="6"/>
    </row>
    <row r="15" spans="1:25" x14ac:dyDescent="0.25">
      <c r="C15" s="6"/>
      <c r="E15" s="6"/>
      <c r="G15" s="6"/>
      <c r="K15" s="6"/>
      <c r="M15" s="6"/>
      <c r="O15" s="6"/>
      <c r="S15" s="6"/>
      <c r="U15" s="6"/>
      <c r="W15" s="6"/>
    </row>
    <row r="16" spans="1:25" x14ac:dyDescent="0.25">
      <c r="C16" s="6"/>
      <c r="E16" s="6"/>
      <c r="G16" s="6"/>
      <c r="K16" s="6"/>
      <c r="M16" s="6"/>
      <c r="O16" s="6"/>
      <c r="Q16" s="6"/>
      <c r="S16" s="6"/>
      <c r="U16" s="6"/>
      <c r="W16" s="6"/>
    </row>
    <row r="17" spans="1:25" s="5" customFormat="1" x14ac:dyDescent="0.25">
      <c r="C17" s="6"/>
      <c r="E17" s="6"/>
      <c r="G17" s="6"/>
      <c r="K17" s="6"/>
      <c r="M17" s="6"/>
      <c r="O17" s="6"/>
      <c r="Q17" s="6"/>
      <c r="S17" s="6"/>
      <c r="U17" s="6"/>
      <c r="W17" s="6"/>
    </row>
    <row r="18" spans="1:25" x14ac:dyDescent="0.25">
      <c r="C18" s="9"/>
      <c r="E18" s="9"/>
      <c r="G18" s="9"/>
      <c r="I18" s="9"/>
      <c r="K18" s="9"/>
      <c r="M18" s="9"/>
      <c r="O18" s="9"/>
      <c r="Q18" s="9"/>
      <c r="S18" s="9"/>
      <c r="U18" s="9"/>
      <c r="W18" s="9"/>
      <c r="Y18" s="9"/>
    </row>
    <row r="19" spans="1:25" x14ac:dyDescent="0.25">
      <c r="A19" t="s">
        <v>13</v>
      </c>
      <c r="C19" s="5">
        <f>SUM(C8:C18)</f>
        <v>100</v>
      </c>
      <c r="E19" s="5">
        <f t="shared" ref="E19:W19" si="0">SUM(E8:E18)</f>
        <v>26</v>
      </c>
      <c r="G19" s="5">
        <f t="shared" si="0"/>
        <v>9</v>
      </c>
      <c r="I19" s="5">
        <f t="shared" si="0"/>
        <v>0</v>
      </c>
      <c r="K19" s="5">
        <f t="shared" si="0"/>
        <v>17</v>
      </c>
      <c r="M19" s="5">
        <f t="shared" si="0"/>
        <v>2</v>
      </c>
      <c r="O19" s="5">
        <f t="shared" si="0"/>
        <v>41</v>
      </c>
      <c r="Q19" s="5">
        <f t="shared" si="0"/>
        <v>3</v>
      </c>
      <c r="S19" s="5">
        <f t="shared" si="0"/>
        <v>18</v>
      </c>
      <c r="U19" s="5">
        <f t="shared" si="0"/>
        <v>107</v>
      </c>
      <c r="W19" s="5">
        <f t="shared" si="0"/>
        <v>28</v>
      </c>
      <c r="Y19">
        <f>SUM(Y8:Y18)</f>
        <v>36</v>
      </c>
    </row>
    <row r="21" spans="1:25" x14ac:dyDescent="0.25">
      <c r="A21" t="s">
        <v>14</v>
      </c>
    </row>
    <row r="23" spans="1:25" x14ac:dyDescent="0.25">
      <c r="A23" t="s">
        <v>15</v>
      </c>
      <c r="K23" s="5" t="s">
        <v>16</v>
      </c>
      <c r="O23" s="5">
        <f>+K19+M19+O19+Q19+S19+U19+W19+Y19</f>
        <v>252</v>
      </c>
    </row>
    <row r="24" spans="1:25" x14ac:dyDescent="0.25">
      <c r="K24" s="5" t="s">
        <v>17</v>
      </c>
      <c r="O24" s="9">
        <f>+C19+E19+G19</f>
        <v>135</v>
      </c>
    </row>
    <row r="25" spans="1:25" x14ac:dyDescent="0.25">
      <c r="K25" s="5" t="s">
        <v>18</v>
      </c>
      <c r="O25" s="5">
        <f>+O23+O24</f>
        <v>387</v>
      </c>
    </row>
    <row r="26" spans="1:25" x14ac:dyDescent="0.25">
      <c r="K26" s="6" t="s">
        <v>19</v>
      </c>
      <c r="O26" s="5">
        <v>8</v>
      </c>
    </row>
    <row r="27" spans="1:25" x14ac:dyDescent="0.25">
      <c r="K27" s="6" t="s">
        <v>20</v>
      </c>
      <c r="O27" s="9">
        <v>22</v>
      </c>
    </row>
    <row r="28" spans="1:25" x14ac:dyDescent="0.25">
      <c r="K28" s="6" t="s">
        <v>21</v>
      </c>
      <c r="O28" s="5">
        <f>+O25+O26+O27</f>
        <v>417</v>
      </c>
    </row>
    <row r="30" spans="1:25" x14ac:dyDescent="0.25">
      <c r="K30" s="6" t="s">
        <v>22</v>
      </c>
    </row>
    <row r="31" spans="1:25" x14ac:dyDescent="0.25">
      <c r="K31" s="6" t="s">
        <v>76</v>
      </c>
    </row>
    <row r="32" spans="1:25" x14ac:dyDescent="0.25">
      <c r="K32" s="6" t="s">
        <v>24</v>
      </c>
    </row>
    <row r="33" spans="1:17" x14ac:dyDescent="0.25">
      <c r="K33" s="6" t="s">
        <v>25</v>
      </c>
      <c r="O33" s="9"/>
    </row>
    <row r="35" spans="1:17" x14ac:dyDescent="0.25">
      <c r="K35" s="6" t="s">
        <v>21</v>
      </c>
      <c r="O35" s="5">
        <f>+O28+O30+O31+O32+O33</f>
        <v>417</v>
      </c>
    </row>
    <row r="42" spans="1:17" x14ac:dyDescent="0.25">
      <c r="A42" t="s">
        <v>62</v>
      </c>
      <c r="C42" s="5" t="s">
        <v>27</v>
      </c>
      <c r="E42" s="5" t="s">
        <v>28</v>
      </c>
      <c r="G42" s="5" t="s">
        <v>29</v>
      </c>
      <c r="I42" s="5" t="s">
        <v>30</v>
      </c>
      <c r="K42" s="5" t="s">
        <v>31</v>
      </c>
      <c r="M42" s="5" t="s">
        <v>32</v>
      </c>
      <c r="Q42" s="5" t="s">
        <v>21</v>
      </c>
    </row>
    <row r="43" spans="1:17" x14ac:dyDescent="0.25">
      <c r="C43" s="5">
        <f>140+140+110+50+16</f>
        <v>456</v>
      </c>
      <c r="E43" s="5">
        <f>240+140+80+50+26</f>
        <v>536</v>
      </c>
      <c r="G43" s="5">
        <v>300</v>
      </c>
      <c r="I43" s="5">
        <v>300</v>
      </c>
    </row>
    <row r="51" spans="1:36" s="7" customFormat="1" ht="15.75" thickBot="1" x14ac:dyDescent="0.3">
      <c r="A51" s="5"/>
      <c r="B51" s="5"/>
      <c r="D51" s="5"/>
      <c r="F51" s="5"/>
      <c r="H51" s="5"/>
      <c r="J51" s="5"/>
      <c r="L51" s="5"/>
      <c r="N51" s="5"/>
      <c r="P51" s="5"/>
      <c r="R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25">
      <c r="A52" t="s">
        <v>34</v>
      </c>
      <c r="C52" s="5">
        <f>SUM(C43:C51)</f>
        <v>456</v>
      </c>
      <c r="E52" s="5">
        <f t="shared" ref="E52:Q52" si="1">SUM(E43:E51)</f>
        <v>536</v>
      </c>
      <c r="G52" s="5">
        <f t="shared" si="1"/>
        <v>300</v>
      </c>
      <c r="I52" s="5">
        <f t="shared" si="1"/>
        <v>300</v>
      </c>
      <c r="K52" s="5">
        <f t="shared" si="1"/>
        <v>0</v>
      </c>
      <c r="M52" s="5">
        <f t="shared" si="1"/>
        <v>0</v>
      </c>
      <c r="O52" s="5">
        <f t="shared" si="1"/>
        <v>0</v>
      </c>
      <c r="Q52" s="5">
        <f t="shared" si="1"/>
        <v>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7" customFormat="1" ht="15.75" thickBot="1" x14ac:dyDescent="0.3">
      <c r="A53" s="5" t="s">
        <v>35</v>
      </c>
      <c r="B53" s="5"/>
      <c r="D53" s="5"/>
      <c r="E53" s="7">
        <v>0</v>
      </c>
      <c r="F53" s="5"/>
      <c r="G53" s="7">
        <v>0</v>
      </c>
      <c r="H53" s="5"/>
      <c r="I53" s="7">
        <v>0</v>
      </c>
      <c r="J53" s="5"/>
      <c r="K53" s="7">
        <v>0</v>
      </c>
      <c r="L53" s="5"/>
      <c r="M53" s="7">
        <v>0</v>
      </c>
      <c r="N53" s="5"/>
      <c r="P53" s="5"/>
      <c r="R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5" customFormat="1" x14ac:dyDescent="0.25">
      <c r="A54" s="5" t="s">
        <v>36</v>
      </c>
      <c r="C54" s="5">
        <f>+C52-C53</f>
        <v>456</v>
      </c>
      <c r="E54" s="5">
        <f t="shared" ref="E54:M54" si="2">+E52-E53</f>
        <v>536</v>
      </c>
      <c r="G54" s="5">
        <f t="shared" si="2"/>
        <v>300</v>
      </c>
      <c r="I54" s="5">
        <f t="shared" si="2"/>
        <v>300</v>
      </c>
      <c r="K54" s="5">
        <f t="shared" si="2"/>
        <v>0</v>
      </c>
      <c r="M54" s="5">
        <f t="shared" si="2"/>
        <v>0</v>
      </c>
      <c r="Q54" s="5">
        <f>+C54+E54+G54+I54+K54+M54</f>
        <v>1592</v>
      </c>
    </row>
    <row r="57" spans="1:36" x14ac:dyDescent="0.25">
      <c r="A57" t="s">
        <v>37</v>
      </c>
      <c r="Q57" s="5">
        <f>+C57+E57+G57+I57+K57+M57+O57</f>
        <v>0</v>
      </c>
    </row>
    <row r="59" spans="1:36" s="7" customFormat="1" ht="15.75" thickBot="1" x14ac:dyDescent="0.3">
      <c r="A59" s="5"/>
      <c r="B59" s="5"/>
      <c r="D59" s="5"/>
      <c r="F59" s="5"/>
      <c r="H59" s="5"/>
      <c r="J59" s="5"/>
      <c r="L59" s="5"/>
      <c r="N59" s="5"/>
      <c r="P59" s="5"/>
      <c r="R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25">
      <c r="A60" t="s">
        <v>38</v>
      </c>
      <c r="C60" s="5">
        <f>+C54+C57</f>
        <v>456</v>
      </c>
      <c r="E60" s="5">
        <f t="shared" ref="E60:M60" si="3">+E54+E57</f>
        <v>536</v>
      </c>
      <c r="G60" s="5">
        <f t="shared" si="3"/>
        <v>300</v>
      </c>
      <c r="I60" s="5">
        <f t="shared" si="3"/>
        <v>300</v>
      </c>
      <c r="K60" s="5">
        <f t="shared" si="3"/>
        <v>0</v>
      </c>
      <c r="M60" s="5">
        <f t="shared" si="3"/>
        <v>0</v>
      </c>
      <c r="Q60" s="5">
        <f>+Q54+Q57</f>
        <v>1592</v>
      </c>
    </row>
    <row r="63" spans="1:36" s="8" customFormat="1" ht="15.75" thickBot="1" x14ac:dyDescent="0.3">
      <c r="A63" s="5" t="s">
        <v>39</v>
      </c>
      <c r="B63" s="5"/>
      <c r="C63" s="8">
        <f>+C60</f>
        <v>456</v>
      </c>
      <c r="E63" s="8">
        <f t="shared" ref="E63:Q63" si="4">+E60</f>
        <v>536</v>
      </c>
      <c r="G63" s="8">
        <f t="shared" si="4"/>
        <v>300</v>
      </c>
      <c r="I63" s="8">
        <f t="shared" si="4"/>
        <v>300</v>
      </c>
      <c r="K63" s="8">
        <f t="shared" si="4"/>
        <v>0</v>
      </c>
      <c r="M63" s="8">
        <f t="shared" si="4"/>
        <v>0</v>
      </c>
      <c r="O63" s="8">
        <f t="shared" si="4"/>
        <v>0</v>
      </c>
      <c r="Q63" s="8">
        <f t="shared" si="4"/>
        <v>1592</v>
      </c>
      <c r="R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ht="15.75" thickTop="1" x14ac:dyDescent="0.25"/>
    <row r="65" spans="1:11" x14ac:dyDescent="0.25">
      <c r="A65" t="s">
        <v>40</v>
      </c>
      <c r="C65" s="5">
        <v>156</v>
      </c>
      <c r="E65" s="5">
        <f>40+20+149</f>
        <v>209</v>
      </c>
    </row>
    <row r="67" spans="1:11" x14ac:dyDescent="0.25">
      <c r="A67" t="s">
        <v>42</v>
      </c>
    </row>
    <row r="68" spans="1:11" x14ac:dyDescent="0.25">
      <c r="A68" t="s">
        <v>41</v>
      </c>
      <c r="C68" s="10">
        <f>+Q60</f>
        <v>1592</v>
      </c>
      <c r="I68" s="5" t="s">
        <v>43</v>
      </c>
      <c r="K68" s="11">
        <f>+C65+E65+G65+I65+K65+M65+C68</f>
        <v>1957</v>
      </c>
    </row>
  </sheetData>
  <pageMargins left="0.7" right="0.7" top="0.75" bottom="0.75" header="0.3" footer="0.3"/>
  <pageSetup scale="72" orientation="landscape" r:id="rId1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4</vt:i4>
      </vt:variant>
    </vt:vector>
  </HeadingPairs>
  <TitlesOfParts>
    <vt:vector size="45" baseType="lpstr">
      <vt:lpstr>ticket sheet</vt:lpstr>
      <vt:lpstr>Breakdown</vt:lpstr>
      <vt:lpstr>Nov 27</vt:lpstr>
      <vt:lpstr>SALES</vt:lpstr>
      <vt:lpstr>Dec 5</vt:lpstr>
      <vt:lpstr>11-24-17</vt:lpstr>
      <vt:lpstr>11-25-17</vt:lpstr>
      <vt:lpstr>11-26-17</vt:lpstr>
      <vt:lpstr>11-27-17</vt:lpstr>
      <vt:lpstr>11-28-17</vt:lpstr>
      <vt:lpstr>11-29-17</vt:lpstr>
      <vt:lpstr>11-30-17</vt:lpstr>
      <vt:lpstr>12-1-17</vt:lpstr>
      <vt:lpstr>12-2-17</vt:lpstr>
      <vt:lpstr>12-3-17</vt:lpstr>
      <vt:lpstr>12-4-17</vt:lpstr>
      <vt:lpstr>12-5-17</vt:lpstr>
      <vt:lpstr>12-6-17</vt:lpstr>
      <vt:lpstr>12-7-17</vt:lpstr>
      <vt:lpstr>12-8-17</vt:lpstr>
      <vt:lpstr>12-9-17</vt:lpstr>
      <vt:lpstr>12-10-17</vt:lpstr>
      <vt:lpstr>12-11-17</vt:lpstr>
      <vt:lpstr>12-12-17</vt:lpstr>
      <vt:lpstr>12-13-17</vt:lpstr>
      <vt:lpstr>12-14-17</vt:lpstr>
      <vt:lpstr>12-15-17</vt:lpstr>
      <vt:lpstr>12-16-17</vt:lpstr>
      <vt:lpstr>12-17-17</vt:lpstr>
      <vt:lpstr>12-18-17</vt:lpstr>
      <vt:lpstr>12-19-17</vt:lpstr>
      <vt:lpstr>12-20-17</vt:lpstr>
      <vt:lpstr>12-21-17</vt:lpstr>
      <vt:lpstr>12-22-17</vt:lpstr>
      <vt:lpstr>12-23-17</vt:lpstr>
      <vt:lpstr>12-26-17</vt:lpstr>
      <vt:lpstr>12-27-17</vt:lpstr>
      <vt:lpstr>12-28-17</vt:lpstr>
      <vt:lpstr>12-29-17</vt:lpstr>
      <vt:lpstr>12-30-17</vt:lpstr>
      <vt:lpstr>12-31-17</vt:lpstr>
      <vt:lpstr>'11-24-17'!Print_Area</vt:lpstr>
      <vt:lpstr>'11-26-17'!Print_Area</vt:lpstr>
      <vt:lpstr>'11-30-17'!Print_Area</vt:lpstr>
      <vt:lpstr>'ticket sheet'!Print_Area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Osler</dc:creator>
  <cp:lastModifiedBy>LeAnne Bryant</cp:lastModifiedBy>
  <cp:lastPrinted>2020-01-01T22:01:11Z</cp:lastPrinted>
  <dcterms:created xsi:type="dcterms:W3CDTF">2017-11-24T21:50:12Z</dcterms:created>
  <dcterms:modified xsi:type="dcterms:W3CDTF">2020-01-01T22:01:31Z</dcterms:modified>
</cp:coreProperties>
</file>