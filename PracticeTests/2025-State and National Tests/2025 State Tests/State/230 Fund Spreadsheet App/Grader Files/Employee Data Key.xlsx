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2022-December" sheetId="1" r:id="rId5"/>
    <sheet state="visible" name="Gender Distribution Chart" sheetId="2" r:id="rId6"/>
  </sheets>
  <definedNames/>
  <calcPr/>
</workbook>
</file>

<file path=xl/sharedStrings.xml><?xml version="1.0" encoding="utf-8"?>
<sst xmlns="http://schemas.openxmlformats.org/spreadsheetml/2006/main" count="323" uniqueCount="147">
  <si>
    <t>FIRST_NAME</t>
  </si>
  <si>
    <t>LAST_NAME</t>
  </si>
  <si>
    <t>DEPARTMENT</t>
  </si>
  <si>
    <t>JOB_TITLE</t>
  </si>
  <si>
    <t>ELECTED_OFFICIAL</t>
  </si>
  <si>
    <t>DATE_STARTED</t>
  </si>
  <si>
    <t>EMPLOYEE_ID</t>
  </si>
  <si>
    <t>SEX</t>
  </si>
  <si>
    <t>ETHNICITY</t>
  </si>
  <si>
    <t>ORIG_START</t>
  </si>
  <si>
    <t>DATE_TERM</t>
  </si>
  <si>
    <t>PAY_STATUS</t>
  </si>
  <si>
    <t xml:space="preserve"> ANNUAL_SALARY </t>
  </si>
  <si>
    <t xml:space="preserve"> REGULAR_PAY </t>
  </si>
  <si>
    <t xml:space="preserve"> OVERTIME_PAY </t>
  </si>
  <si>
    <t xml:space="preserve"> INCENTIVE_PAY </t>
  </si>
  <si>
    <t xml:space="preserve"> GROSS_PAY </t>
  </si>
  <si>
    <t>ALEXANDER D</t>
  </si>
  <si>
    <t>ABALO</t>
  </si>
  <si>
    <t>Kane Regional Centers</t>
  </si>
  <si>
    <t>NURSING ASSISTANT</t>
  </si>
  <si>
    <t>F</t>
  </si>
  <si>
    <t>Black</t>
  </si>
  <si>
    <t>Active</t>
  </si>
  <si>
    <t>CHELSEA L</t>
  </si>
  <si>
    <t>ABBOTT</t>
  </si>
  <si>
    <t>Emergency Management</t>
  </si>
  <si>
    <t>FIRE INSTRUCTOR - PART TIME</t>
  </si>
  <si>
    <t>M</t>
  </si>
  <si>
    <t>White (Not of Hispanic Origin)</t>
  </si>
  <si>
    <t xml:space="preserve"> -   </t>
  </si>
  <si>
    <t>LINDA M</t>
  </si>
  <si>
    <t>COOK</t>
  </si>
  <si>
    <t>TRAVIS J</t>
  </si>
  <si>
    <t>ABRAHAM</t>
  </si>
  <si>
    <t>Parks</t>
  </si>
  <si>
    <t>SEASONAL AIDE</t>
  </si>
  <si>
    <t>Terminated</t>
  </si>
  <si>
    <t>BRITTANY</t>
  </si>
  <si>
    <t>ABRAM</t>
  </si>
  <si>
    <t>TELECOMMUNICATION OFFICER</t>
  </si>
  <si>
    <t>CHRISTOPHER W</t>
  </si>
  <si>
    <t>ABRAMOVITZ</t>
  </si>
  <si>
    <t>Administrative Services</t>
  </si>
  <si>
    <t>MANAGER REGISTRATION</t>
  </si>
  <si>
    <t>SHANE M</t>
  </si>
  <si>
    <t>ACIE-SCOTT</t>
  </si>
  <si>
    <t>FOOD SERVICE WORKER/START 2013</t>
  </si>
  <si>
    <t>JEAN M</t>
  </si>
  <si>
    <t>ACKER</t>
  </si>
  <si>
    <t>RN RESIDENT CARE COORDINATOR</t>
  </si>
  <si>
    <t>MICHAEL R</t>
  </si>
  <si>
    <t>ACQUARO</t>
  </si>
  <si>
    <t>LABORER</t>
  </si>
  <si>
    <t>NATALIE</t>
  </si>
  <si>
    <t>ACRIE</t>
  </si>
  <si>
    <t>Human Services</t>
  </si>
  <si>
    <t>CLERK TYPIST 1</t>
  </si>
  <si>
    <t>CONNOR J</t>
  </si>
  <si>
    <t>CAULFIELD</t>
  </si>
  <si>
    <t>Court Records</t>
  </si>
  <si>
    <t>CLERK 5</t>
  </si>
  <si>
    <t>BRIANNA</t>
  </si>
  <si>
    <t>CAVADA</t>
  </si>
  <si>
    <t>MARY E</t>
  </si>
  <si>
    <t>CAVALANCIA</t>
  </si>
  <si>
    <t>CLERK TYPIST 3</t>
  </si>
  <si>
    <t>JALYN M</t>
  </si>
  <si>
    <t>CAVALOVITCH</t>
  </si>
  <si>
    <t>KALI R</t>
  </si>
  <si>
    <t>CAVANAUGH</t>
  </si>
  <si>
    <t>REGISTERED NURSE</t>
  </si>
  <si>
    <t>JOHN V</t>
  </si>
  <si>
    <t>CAVENDISH</t>
  </si>
  <si>
    <t>Health</t>
  </si>
  <si>
    <t>HUMAN RESOURCE MANAGER</t>
  </si>
  <si>
    <t>JACQUELINE M</t>
  </si>
  <si>
    <t>CAWLEY</t>
  </si>
  <si>
    <t>Jail</t>
  </si>
  <si>
    <t>CORRECTIONAL OFFICER</t>
  </si>
  <si>
    <t>CATHERINE</t>
  </si>
  <si>
    <t>CEBOTAR</t>
  </si>
  <si>
    <t>JOSEPH</t>
  </si>
  <si>
    <t>CEBULA</t>
  </si>
  <si>
    <t>Information Technology</t>
  </si>
  <si>
    <t>NETWORK ENGINEER</t>
  </si>
  <si>
    <t>ETHAN E</t>
  </si>
  <si>
    <t>CECERE</t>
  </si>
  <si>
    <t>ENVIRONMENTAL HLTH SPE 3 - 5 Y</t>
  </si>
  <si>
    <t>Asian or Pacific Islander</t>
  </si>
  <si>
    <t>KELSEY M</t>
  </si>
  <si>
    <t>BURLEY</t>
  </si>
  <si>
    <t>Facilities Management</t>
  </si>
  <si>
    <t>TEMP PAINTER</t>
  </si>
  <si>
    <t>RAQUEL E</t>
  </si>
  <si>
    <t>BURNETT</t>
  </si>
  <si>
    <t>SUSAN M</t>
  </si>
  <si>
    <t>BURNS</t>
  </si>
  <si>
    <t>ANTHONY M</t>
  </si>
  <si>
    <t>Public Works Operating</t>
  </si>
  <si>
    <t>MICHAEL M</t>
  </si>
  <si>
    <t>DASON</t>
  </si>
  <si>
    <t>MANAGER FISCAL SERVICE</t>
  </si>
  <si>
    <t>American Indian/Alaskan Native</t>
  </si>
  <si>
    <t>DATTALO</t>
  </si>
  <si>
    <t>HAFEEZ A</t>
  </si>
  <si>
    <t>DAUGHERTY</t>
  </si>
  <si>
    <t>STEPHANIE</t>
  </si>
  <si>
    <t>DAVENPORT</t>
  </si>
  <si>
    <t>Economic Development</t>
  </si>
  <si>
    <t>ACCOUNTANT</t>
  </si>
  <si>
    <t>SION D</t>
  </si>
  <si>
    <t>Public Defender</t>
  </si>
  <si>
    <t>TRIAL DEFENDER 4</t>
  </si>
  <si>
    <t>ISA</t>
  </si>
  <si>
    <t>DAVIN</t>
  </si>
  <si>
    <t>Sheriff</t>
  </si>
  <si>
    <t>ACCREDITATION-GRANTS MANAGER</t>
  </si>
  <si>
    <t>RACHAEL L NICOL</t>
  </si>
  <si>
    <t>DAVIS</t>
  </si>
  <si>
    <t>BRYN E</t>
  </si>
  <si>
    <t>EDWARDS</t>
  </si>
  <si>
    <t>NURSING ASSISTANT/PROB 2017</t>
  </si>
  <si>
    <t>JONAH M</t>
  </si>
  <si>
    <t>EDWARDS- LINTNER</t>
  </si>
  <si>
    <t>LICENSED PRACTICAL NURSE</t>
  </si>
  <si>
    <t>EMILY J</t>
  </si>
  <si>
    <t>EFINGER</t>
  </si>
  <si>
    <t>ASSISTANT DIVISION MANAGER</t>
  </si>
  <si>
    <t>GRACE D</t>
  </si>
  <si>
    <t>EGAN</t>
  </si>
  <si>
    <t>District Attorney</t>
  </si>
  <si>
    <t>PARALEGAL</t>
  </si>
  <si>
    <t>SUZANNE</t>
  </si>
  <si>
    <t>EGAN WALSH</t>
  </si>
  <si>
    <t>REAL ESTATE ACCOUNTING TECH</t>
  </si>
  <si>
    <t>DAVID J</t>
  </si>
  <si>
    <t>EGER</t>
  </si>
  <si>
    <t>INTAKE PARALEGAL</t>
  </si>
  <si>
    <t>KELCEE</t>
  </si>
  <si>
    <t>FARRIS</t>
  </si>
  <si>
    <t>LUCILLE M</t>
  </si>
  <si>
    <t>FARRIS-LITTLEJOHN</t>
  </si>
  <si>
    <t>Gender</t>
  </si>
  <si>
    <t>Number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</si>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</sst>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2.0"/>
      <color theme="1"/>
      <name val="Calibri"/>
      <scheme val="minor"/>
    </font>
    <font>
      <sz val="12.0"/>
      <color theme="1"/>
      <name val="Times New Roman"/>
    </font>
    <font>
      <sz val="12.0"/>
      <color theme="0"/>
      <name val="Times New Roman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4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4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>
        <color rgb="FF800080"/>
      </font>
      <fill>
        <patternFill patternType="solid">
          <fgColor rgb="FFFF99CC"/>
          <bgColor rgb="FFFF99CC"/>
        </patternFill>
      </fill>
      <border/>
    </dxf>
  </dxfs>
  <tableStyles count="1">
    <tableStyle count="3" pivot="0" name="Employees2022-Decemb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333333"/>
                </a:solidFill>
                <a:latin typeface="+mn-lt"/>
              </a:defRPr>
            </a:pPr>
            <a:r>
              <a:rPr b="0" i="0" sz="1400">
                <a:solidFill>
                  <a:srgbClr val="333333"/>
                </a:solidFill>
                <a:latin typeface="+mn-lt"/>
              </a:rPr>
              <a:t>Gender Distribution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'Gender Distribution Chart'!$B$1</c:f>
            </c:strRef>
          </c:tx>
          <c:dPt>
            <c:idx val="0"/>
            <c:spPr>
              <a:solidFill>
                <a:srgbClr val="0066CC"/>
              </a:solidFill>
            </c:spPr>
          </c:dPt>
          <c:dPt>
            <c:idx val="1"/>
            <c:spPr>
              <a:solidFill>
                <a:srgbClr val="FF66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'Gender Distribution Chart'!$A$2:$A$3</c:f>
            </c:strRef>
          </c:cat>
          <c:val>
            <c:numRef>
              <c:f>'Gender Distribution Chart'!$B$2:$B$3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5</xdr:row>
      <xdr:rowOff>47625</xdr:rowOff>
    </xdr:from>
    <xdr:ext cx="4743450" cy="2695575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40" displayName="Table_1" name="Table_1" id="1">
  <tableColumns count="17">
    <tableColumn name="FIRST_NAME" id="1"/>
    <tableColumn name="LAST_NAME" id="2"/>
    <tableColumn name="DEPARTMENT" id="3"/>
    <tableColumn name="JOB_TITLE" id="4"/>
    <tableColumn name="ELECTED_OFFICIAL" id="5"/>
    <tableColumn name="DATE_STARTED" id="6"/>
    <tableColumn name="EMPLOYEE_ID" id="7"/>
    <tableColumn name="SEX" id="8"/>
    <tableColumn name="ETHNICITY" id="9"/>
    <tableColumn name="ORIG_START" id="10"/>
    <tableColumn name="DATE_TERM" id="11"/>
    <tableColumn name="PAY_STATUS" id="12"/>
    <tableColumn name=" ANNUAL_SALARY " id="13"/>
    <tableColumn name=" REGULAR_PAY " id="14"/>
    <tableColumn name=" OVERTIME_PAY " id="15"/>
    <tableColumn name=" INCENTIVE_PAY " id="16"/>
    <tableColumn name=" GROSS_PAY " id="17"/>
  </tableColumns>
  <tableStyleInfo name="Employees2022-Decemb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11"/>
    <col customWidth="1" min="2" max="2" width="21.0"/>
    <col customWidth="1" min="3" max="3" width="20.78"/>
    <col customWidth="1" min="4" max="4" width="38.0"/>
    <col customWidth="1" min="5" max="5" width="24.44"/>
    <col customWidth="1" min="6" max="6" width="20.11"/>
    <col customWidth="1" min="7" max="7" width="18.33"/>
    <col customWidth="1" min="8" max="8" width="7.67"/>
    <col customWidth="1" min="9" max="9" width="27.44"/>
    <col customWidth="1" min="10" max="10" width="16.78"/>
    <col customWidth="1" min="11" max="11" width="16.33"/>
    <col customWidth="1" min="12" max="12" width="16.78"/>
    <col customWidth="1" min="13" max="13" width="23.11"/>
    <col customWidth="1" min="14" max="14" width="20.11"/>
    <col customWidth="1" min="15" max="15" width="21.11"/>
    <col customWidth="1" min="16" max="16" width="21.67"/>
    <col customWidth="1" min="17" max="17" width="16.67"/>
    <col customWidth="1" min="18" max="26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ht="15.75" hidden="1" customHeight="1">
      <c r="A2" s="1" t="s">
        <v>17</v>
      </c>
      <c r="B2" s="1" t="s">
        <v>18</v>
      </c>
      <c r="C2" s="1" t="s">
        <v>19</v>
      </c>
      <c r="D2" s="1" t="s">
        <v>20</v>
      </c>
      <c r="E2" s="1">
        <v>0.0</v>
      </c>
      <c r="F2" s="4">
        <v>40276.0</v>
      </c>
      <c r="G2" s="5">
        <f t="shared" ref="G2:G40" si="1">RANDBETWEEN(1000,10000)</f>
        <v>9602</v>
      </c>
      <c r="H2" s="1" t="s">
        <v>21</v>
      </c>
      <c r="I2" s="1" t="s">
        <v>22</v>
      </c>
      <c r="J2" s="4">
        <v>40000.0</v>
      </c>
      <c r="K2" s="1"/>
      <c r="L2" s="1" t="s">
        <v>23</v>
      </c>
      <c r="M2" s="6">
        <v>41581.07</v>
      </c>
      <c r="N2" s="6">
        <v>40740.5</v>
      </c>
      <c r="O2" s="6">
        <v>23416.98</v>
      </c>
      <c r="P2" s="6">
        <v>125.0</v>
      </c>
      <c r="Q2" s="6">
        <v>64282.48</v>
      </c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24</v>
      </c>
      <c r="B3" s="1" t="s">
        <v>25</v>
      </c>
      <c r="C3" s="1" t="s">
        <v>26</v>
      </c>
      <c r="D3" s="1" t="s">
        <v>27</v>
      </c>
      <c r="E3" s="1">
        <v>0.0</v>
      </c>
      <c r="F3" s="4">
        <v>43262.0</v>
      </c>
      <c r="G3" s="5">
        <f t="shared" si="1"/>
        <v>3633</v>
      </c>
      <c r="H3" s="1" t="s">
        <v>28</v>
      </c>
      <c r="I3" s="1" t="s">
        <v>29</v>
      </c>
      <c r="J3" s="4">
        <v>43262.0</v>
      </c>
      <c r="K3" s="1"/>
      <c r="L3" s="1" t="s">
        <v>23</v>
      </c>
      <c r="M3" s="6">
        <v>30576.0</v>
      </c>
      <c r="N3" s="6">
        <v>378.0</v>
      </c>
      <c r="O3" s="6" t="s">
        <v>30</v>
      </c>
      <c r="P3" s="6" t="s">
        <v>30</v>
      </c>
      <c r="Q3" s="6">
        <v>378.0</v>
      </c>
      <c r="R3" s="3"/>
      <c r="S3" s="3"/>
      <c r="T3" s="3"/>
      <c r="U3" s="3"/>
      <c r="V3" s="3"/>
      <c r="W3" s="3"/>
      <c r="X3" s="3"/>
      <c r="Y3" s="3"/>
      <c r="Z3" s="3"/>
    </row>
    <row r="4" ht="15.75" hidden="1" customHeight="1">
      <c r="A4" s="1" t="s">
        <v>31</v>
      </c>
      <c r="B4" s="1" t="s">
        <v>25</v>
      </c>
      <c r="C4" s="1" t="s">
        <v>19</v>
      </c>
      <c r="D4" s="1" t="s">
        <v>32</v>
      </c>
      <c r="E4" s="1">
        <v>0.0</v>
      </c>
      <c r="F4" s="4">
        <v>36205.0</v>
      </c>
      <c r="G4" s="5">
        <f t="shared" si="1"/>
        <v>2983</v>
      </c>
      <c r="H4" s="1" t="s">
        <v>21</v>
      </c>
      <c r="I4" s="1" t="s">
        <v>29</v>
      </c>
      <c r="J4" s="4">
        <v>35828.0</v>
      </c>
      <c r="K4" s="1"/>
      <c r="L4" s="1" t="s">
        <v>23</v>
      </c>
      <c r="M4" s="6">
        <v>40761.76</v>
      </c>
      <c r="N4" s="6">
        <v>44015.85</v>
      </c>
      <c r="O4" s="6">
        <v>1923.77</v>
      </c>
      <c r="P4" s="6">
        <v>225.0</v>
      </c>
      <c r="Q4" s="6">
        <v>46164.62</v>
      </c>
      <c r="R4" s="3"/>
      <c r="S4" s="3"/>
      <c r="T4" s="3"/>
      <c r="U4" s="3"/>
      <c r="V4" s="3"/>
      <c r="W4" s="3"/>
      <c r="X4" s="3"/>
      <c r="Y4" s="3"/>
      <c r="Z4" s="3"/>
    </row>
    <row r="5" ht="15.75" hidden="1" customHeight="1">
      <c r="A5" s="1" t="s">
        <v>33</v>
      </c>
      <c r="B5" s="1" t="s">
        <v>34</v>
      </c>
      <c r="C5" s="1" t="s">
        <v>35</v>
      </c>
      <c r="D5" s="1" t="s">
        <v>36</v>
      </c>
      <c r="E5" s="1">
        <v>0.0</v>
      </c>
      <c r="F5" s="4">
        <v>44707.0</v>
      </c>
      <c r="G5" s="5">
        <f t="shared" si="1"/>
        <v>6266</v>
      </c>
      <c r="H5" s="1" t="s">
        <v>21</v>
      </c>
      <c r="I5" s="1" t="s">
        <v>29</v>
      </c>
      <c r="J5" s="4">
        <v>44707.0</v>
      </c>
      <c r="K5" s="4">
        <v>44809.0</v>
      </c>
      <c r="L5" s="1" t="s">
        <v>37</v>
      </c>
      <c r="M5" s="6">
        <v>39936.0</v>
      </c>
      <c r="N5" s="6">
        <v>6488.0</v>
      </c>
      <c r="O5" s="6" t="s">
        <v>30</v>
      </c>
      <c r="P5" s="6">
        <v>100.0</v>
      </c>
      <c r="Q5" s="6">
        <v>6588.0</v>
      </c>
      <c r="R5" s="3"/>
      <c r="S5" s="3"/>
      <c r="T5" s="3"/>
      <c r="U5" s="3"/>
      <c r="V5" s="3"/>
      <c r="W5" s="3"/>
      <c r="X5" s="3"/>
      <c r="Y5" s="3"/>
      <c r="Z5" s="3"/>
    </row>
    <row r="6" ht="15.75" hidden="1" customHeight="1">
      <c r="A6" s="1" t="s">
        <v>38</v>
      </c>
      <c r="B6" s="1" t="s">
        <v>39</v>
      </c>
      <c r="C6" s="1" t="s">
        <v>26</v>
      </c>
      <c r="D6" s="1" t="s">
        <v>40</v>
      </c>
      <c r="E6" s="1">
        <v>0.0</v>
      </c>
      <c r="F6" s="4">
        <v>44704.0</v>
      </c>
      <c r="G6" s="5">
        <f t="shared" si="1"/>
        <v>8893</v>
      </c>
      <c r="H6" s="1" t="s">
        <v>21</v>
      </c>
      <c r="I6" s="1" t="s">
        <v>22</v>
      </c>
      <c r="J6" s="4">
        <v>42521.0</v>
      </c>
      <c r="K6" s="1"/>
      <c r="L6" s="1" t="s">
        <v>23</v>
      </c>
      <c r="M6" s="6">
        <v>52240.03</v>
      </c>
      <c r="N6" s="6">
        <v>25637.96</v>
      </c>
      <c r="O6" s="6">
        <v>15994.95</v>
      </c>
      <c r="P6" s="6">
        <v>125.0</v>
      </c>
      <c r="Q6" s="6">
        <v>41757.91</v>
      </c>
      <c r="R6" s="3"/>
      <c r="S6" s="3"/>
      <c r="T6" s="3"/>
      <c r="U6" s="3"/>
      <c r="V6" s="3"/>
      <c r="W6" s="3"/>
      <c r="X6" s="3"/>
      <c r="Y6" s="3"/>
      <c r="Z6" s="3"/>
    </row>
    <row r="7" ht="15.75" hidden="1" customHeight="1">
      <c r="A7" s="1" t="s">
        <v>41</v>
      </c>
      <c r="B7" s="1" t="s">
        <v>42</v>
      </c>
      <c r="C7" s="1" t="s">
        <v>43</v>
      </c>
      <c r="D7" s="1" t="s">
        <v>44</v>
      </c>
      <c r="E7" s="1">
        <v>0.0</v>
      </c>
      <c r="F7" s="4">
        <v>36891.0</v>
      </c>
      <c r="G7" s="5">
        <f t="shared" si="1"/>
        <v>9114</v>
      </c>
      <c r="H7" s="1" t="s">
        <v>21</v>
      </c>
      <c r="I7" s="1" t="s">
        <v>22</v>
      </c>
      <c r="J7" s="4">
        <v>36654.0</v>
      </c>
      <c r="K7" s="1"/>
      <c r="L7" s="1" t="s">
        <v>23</v>
      </c>
      <c r="M7" s="6">
        <v>51215.22</v>
      </c>
      <c r="N7" s="6">
        <v>51214.8</v>
      </c>
      <c r="O7" s="6">
        <v>1120.34</v>
      </c>
      <c r="P7" s="6">
        <v>125.0</v>
      </c>
      <c r="Q7" s="6">
        <v>52460.14</v>
      </c>
      <c r="R7" s="3"/>
      <c r="S7" s="3"/>
      <c r="T7" s="3"/>
      <c r="U7" s="3"/>
      <c r="V7" s="3"/>
      <c r="W7" s="3"/>
      <c r="X7" s="3"/>
      <c r="Y7" s="3"/>
      <c r="Z7" s="3"/>
    </row>
    <row r="8" ht="15.75" hidden="1" customHeight="1">
      <c r="A8" s="1" t="s">
        <v>45</v>
      </c>
      <c r="B8" s="1" t="s">
        <v>46</v>
      </c>
      <c r="C8" s="1" t="s">
        <v>19</v>
      </c>
      <c r="D8" s="1" t="s">
        <v>47</v>
      </c>
      <c r="E8" s="1">
        <v>0.0</v>
      </c>
      <c r="F8" s="4">
        <v>42239.0</v>
      </c>
      <c r="G8" s="5">
        <f t="shared" si="1"/>
        <v>4436</v>
      </c>
      <c r="H8" s="1" t="s">
        <v>21</v>
      </c>
      <c r="I8" s="1" t="s">
        <v>22</v>
      </c>
      <c r="J8" s="4">
        <v>40518.0</v>
      </c>
      <c r="K8" s="1"/>
      <c r="L8" s="1" t="s">
        <v>23</v>
      </c>
      <c r="M8" s="6">
        <v>31200.0</v>
      </c>
      <c r="N8" s="6">
        <v>31305.75</v>
      </c>
      <c r="O8" s="6">
        <v>20961.27</v>
      </c>
      <c r="P8" s="6">
        <v>125.0</v>
      </c>
      <c r="Q8" s="6">
        <v>52392.02</v>
      </c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 t="s">
        <v>48</v>
      </c>
      <c r="B9" s="1" t="s">
        <v>49</v>
      </c>
      <c r="C9" s="1" t="s">
        <v>19</v>
      </c>
      <c r="D9" s="1" t="s">
        <v>50</v>
      </c>
      <c r="E9" s="1">
        <v>0.0</v>
      </c>
      <c r="F9" s="4">
        <v>41904.0</v>
      </c>
      <c r="G9" s="5">
        <f t="shared" si="1"/>
        <v>6336</v>
      </c>
      <c r="H9" s="1" t="s">
        <v>28</v>
      </c>
      <c r="I9" s="1" t="s">
        <v>29</v>
      </c>
      <c r="J9" s="4">
        <v>41904.0</v>
      </c>
      <c r="K9" s="1"/>
      <c r="L9" s="1" t="s">
        <v>23</v>
      </c>
      <c r="M9" s="6">
        <v>68792.46</v>
      </c>
      <c r="N9" s="6">
        <v>68215.49</v>
      </c>
      <c r="O9" s="6">
        <v>33277.15</v>
      </c>
      <c r="P9" s="6">
        <v>125.0</v>
      </c>
      <c r="Q9" s="6">
        <v>101617.64</v>
      </c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 t="s">
        <v>51</v>
      </c>
      <c r="B10" s="1" t="s">
        <v>52</v>
      </c>
      <c r="C10" s="1" t="s">
        <v>35</v>
      </c>
      <c r="D10" s="1" t="s">
        <v>53</v>
      </c>
      <c r="E10" s="1">
        <v>0.0</v>
      </c>
      <c r="F10" s="4">
        <v>43563.0</v>
      </c>
      <c r="G10" s="5">
        <f t="shared" si="1"/>
        <v>2331</v>
      </c>
      <c r="H10" s="1" t="s">
        <v>28</v>
      </c>
      <c r="I10" s="1" t="s">
        <v>29</v>
      </c>
      <c r="J10" s="4">
        <v>43563.0</v>
      </c>
      <c r="K10" s="1"/>
      <c r="L10" s="1" t="s">
        <v>23</v>
      </c>
      <c r="M10" s="6">
        <v>43160.42</v>
      </c>
      <c r="N10" s="6">
        <v>48973.12</v>
      </c>
      <c r="O10" s="6">
        <v>6672.28</v>
      </c>
      <c r="P10" s="6" t="s">
        <v>30</v>
      </c>
      <c r="Q10" s="6">
        <v>55645.4</v>
      </c>
      <c r="R10" s="3"/>
      <c r="S10" s="3"/>
      <c r="T10" s="3"/>
      <c r="U10" s="3"/>
      <c r="V10" s="3"/>
      <c r="W10" s="3"/>
      <c r="X10" s="3"/>
      <c r="Y10" s="3"/>
      <c r="Z10" s="3"/>
    </row>
    <row r="11" ht="15.75" hidden="1" customHeight="1">
      <c r="A11" s="1" t="s">
        <v>54</v>
      </c>
      <c r="B11" s="1" t="s">
        <v>55</v>
      </c>
      <c r="C11" s="1" t="s">
        <v>56</v>
      </c>
      <c r="D11" s="1" t="s">
        <v>57</v>
      </c>
      <c r="E11" s="1">
        <v>0.0</v>
      </c>
      <c r="F11" s="4">
        <v>43360.0</v>
      </c>
      <c r="G11" s="5">
        <f t="shared" si="1"/>
        <v>4701</v>
      </c>
      <c r="H11" s="1" t="s">
        <v>21</v>
      </c>
      <c r="I11" s="1" t="s">
        <v>29</v>
      </c>
      <c r="J11" s="4">
        <v>43360.0</v>
      </c>
      <c r="K11" s="1"/>
      <c r="L11" s="1" t="s">
        <v>23</v>
      </c>
      <c r="M11" s="6">
        <v>35616.88</v>
      </c>
      <c r="N11" s="6">
        <v>36911.16</v>
      </c>
      <c r="O11" s="6">
        <v>8427.91</v>
      </c>
      <c r="P11" s="6">
        <v>125.0</v>
      </c>
      <c r="Q11" s="6">
        <v>45464.07</v>
      </c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 t="s">
        <v>58</v>
      </c>
      <c r="B12" s="1" t="s">
        <v>59</v>
      </c>
      <c r="C12" s="1" t="s">
        <v>60</v>
      </c>
      <c r="D12" s="1" t="s">
        <v>61</v>
      </c>
      <c r="E12" s="1">
        <v>0.0</v>
      </c>
      <c r="F12" s="4">
        <v>43751.0</v>
      </c>
      <c r="G12" s="5">
        <f t="shared" si="1"/>
        <v>2501</v>
      </c>
      <c r="H12" s="1" t="s">
        <v>28</v>
      </c>
      <c r="I12" s="1" t="s">
        <v>29</v>
      </c>
      <c r="J12" s="4">
        <v>43584.0</v>
      </c>
      <c r="K12" s="1"/>
      <c r="L12" s="1" t="s">
        <v>23</v>
      </c>
      <c r="M12" s="6">
        <v>35898.93</v>
      </c>
      <c r="N12" s="6">
        <v>35254.47</v>
      </c>
      <c r="O12" s="6">
        <v>336.55</v>
      </c>
      <c r="P12" s="6" t="s">
        <v>30</v>
      </c>
      <c r="Q12" s="6">
        <v>35591.02</v>
      </c>
      <c r="R12" s="3"/>
      <c r="S12" s="3"/>
      <c r="T12" s="3"/>
      <c r="U12" s="3"/>
      <c r="V12" s="3"/>
      <c r="W12" s="3"/>
      <c r="X12" s="3"/>
      <c r="Y12" s="3"/>
      <c r="Z12" s="3"/>
    </row>
    <row r="13" ht="15.75" hidden="1" customHeight="1">
      <c r="A13" s="1" t="s">
        <v>62</v>
      </c>
      <c r="B13" s="1" t="s">
        <v>63</v>
      </c>
      <c r="C13" s="1" t="s">
        <v>35</v>
      </c>
      <c r="D13" s="1" t="s">
        <v>36</v>
      </c>
      <c r="E13" s="1">
        <v>0.0</v>
      </c>
      <c r="F13" s="4">
        <v>44707.0</v>
      </c>
      <c r="G13" s="5">
        <f t="shared" si="1"/>
        <v>8701</v>
      </c>
      <c r="H13" s="1" t="s">
        <v>21</v>
      </c>
      <c r="I13" s="1" t="s">
        <v>29</v>
      </c>
      <c r="J13" s="4">
        <v>44707.0</v>
      </c>
      <c r="K13" s="4">
        <v>44809.0</v>
      </c>
      <c r="L13" s="1" t="s">
        <v>37</v>
      </c>
      <c r="M13" s="6">
        <v>39936.0</v>
      </c>
      <c r="N13" s="6">
        <v>2832.0</v>
      </c>
      <c r="O13" s="6" t="s">
        <v>30</v>
      </c>
      <c r="P13" s="6">
        <v>100.0</v>
      </c>
      <c r="Q13" s="6">
        <v>2932.0</v>
      </c>
      <c r="R13" s="3"/>
      <c r="S13" s="3"/>
      <c r="T13" s="3"/>
      <c r="U13" s="3"/>
      <c r="V13" s="3"/>
      <c r="W13" s="3"/>
      <c r="X13" s="3"/>
      <c r="Y13" s="3"/>
      <c r="Z13" s="3"/>
    </row>
    <row r="14" ht="15.75" hidden="1" customHeight="1">
      <c r="A14" s="1" t="s">
        <v>64</v>
      </c>
      <c r="B14" s="1" t="s">
        <v>65</v>
      </c>
      <c r="C14" s="1" t="s">
        <v>35</v>
      </c>
      <c r="D14" s="1" t="s">
        <v>66</v>
      </c>
      <c r="E14" s="1">
        <v>0.0</v>
      </c>
      <c r="F14" s="4">
        <v>40042.0</v>
      </c>
      <c r="G14" s="5">
        <f t="shared" si="1"/>
        <v>2199</v>
      </c>
      <c r="H14" s="1" t="s">
        <v>21</v>
      </c>
      <c r="I14" s="1" t="s">
        <v>29</v>
      </c>
      <c r="J14" s="4">
        <v>40042.0</v>
      </c>
      <c r="K14" s="1"/>
      <c r="L14" s="1" t="s">
        <v>23</v>
      </c>
      <c r="M14" s="6">
        <v>37864.53</v>
      </c>
      <c r="N14" s="6">
        <v>38902.51</v>
      </c>
      <c r="O14" s="6" t="s">
        <v>30</v>
      </c>
      <c r="P14" s="6">
        <v>125.0</v>
      </c>
      <c r="Q14" s="6">
        <v>39027.51</v>
      </c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 t="s">
        <v>67</v>
      </c>
      <c r="B15" s="1" t="s">
        <v>68</v>
      </c>
      <c r="C15" s="1" t="s">
        <v>35</v>
      </c>
      <c r="D15" s="1" t="s">
        <v>53</v>
      </c>
      <c r="E15" s="1">
        <v>0.0</v>
      </c>
      <c r="F15" s="4">
        <v>43249.0</v>
      </c>
      <c r="G15" s="5">
        <f t="shared" si="1"/>
        <v>7720</v>
      </c>
      <c r="H15" s="1" t="s">
        <v>28</v>
      </c>
      <c r="I15" s="1" t="s">
        <v>29</v>
      </c>
      <c r="J15" s="4">
        <v>41416.0</v>
      </c>
      <c r="K15" s="1"/>
      <c r="L15" s="1" t="s">
        <v>23</v>
      </c>
      <c r="M15" s="6">
        <v>43160.42</v>
      </c>
      <c r="N15" s="6">
        <v>48073.46</v>
      </c>
      <c r="O15" s="6">
        <v>9978.9</v>
      </c>
      <c r="P15" s="6">
        <v>100.0</v>
      </c>
      <c r="Q15" s="6">
        <v>58152.36</v>
      </c>
      <c r="R15" s="3"/>
      <c r="S15" s="3"/>
      <c r="T15" s="3"/>
      <c r="U15" s="3"/>
      <c r="V15" s="3"/>
      <c r="W15" s="3"/>
      <c r="X15" s="3"/>
      <c r="Y15" s="3"/>
      <c r="Z15" s="3"/>
    </row>
    <row r="16" ht="15.75" hidden="1" customHeight="1">
      <c r="A16" s="1" t="s">
        <v>69</v>
      </c>
      <c r="B16" s="1" t="s">
        <v>70</v>
      </c>
      <c r="C16" s="1" t="s">
        <v>19</v>
      </c>
      <c r="D16" s="1" t="s">
        <v>71</v>
      </c>
      <c r="E16" s="1">
        <v>0.0</v>
      </c>
      <c r="F16" s="4">
        <v>42086.0</v>
      </c>
      <c r="G16" s="5">
        <f t="shared" si="1"/>
        <v>1747</v>
      </c>
      <c r="H16" s="1" t="s">
        <v>21</v>
      </c>
      <c r="I16" s="1" t="s">
        <v>29</v>
      </c>
      <c r="J16" s="4">
        <v>42086.0</v>
      </c>
      <c r="K16" s="1"/>
      <c r="L16" s="1" t="s">
        <v>23</v>
      </c>
      <c r="M16" s="6">
        <v>61297.6</v>
      </c>
      <c r="N16" s="6">
        <v>63624.83</v>
      </c>
      <c r="O16" s="6">
        <v>3648.58</v>
      </c>
      <c r="P16" s="6">
        <v>225.0</v>
      </c>
      <c r="Q16" s="6">
        <v>67498.41</v>
      </c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 t="s">
        <v>72</v>
      </c>
      <c r="B17" s="1" t="s">
        <v>73</v>
      </c>
      <c r="C17" s="1" t="s">
        <v>74</v>
      </c>
      <c r="D17" s="1" t="s">
        <v>75</v>
      </c>
      <c r="E17" s="1">
        <v>0.0</v>
      </c>
      <c r="F17" s="4">
        <v>44383.0</v>
      </c>
      <c r="G17" s="5">
        <f t="shared" si="1"/>
        <v>4878</v>
      </c>
      <c r="H17" s="1" t="s">
        <v>28</v>
      </c>
      <c r="I17" s="1" t="s">
        <v>29</v>
      </c>
      <c r="J17" s="4">
        <v>44383.0</v>
      </c>
      <c r="K17" s="1"/>
      <c r="L17" s="1" t="s">
        <v>23</v>
      </c>
      <c r="M17" s="6">
        <v>76782.58</v>
      </c>
      <c r="N17" s="6">
        <v>76783.2</v>
      </c>
      <c r="O17" s="6">
        <v>73.83</v>
      </c>
      <c r="P17" s="6" t="s">
        <v>30</v>
      </c>
      <c r="Q17" s="6">
        <v>76857.03</v>
      </c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" t="s">
        <v>76</v>
      </c>
      <c r="B18" s="1" t="s">
        <v>77</v>
      </c>
      <c r="C18" s="1" t="s">
        <v>78</v>
      </c>
      <c r="D18" s="1" t="s">
        <v>79</v>
      </c>
      <c r="E18" s="1">
        <v>0.0</v>
      </c>
      <c r="F18" s="4">
        <v>42953.0</v>
      </c>
      <c r="G18" s="5">
        <f t="shared" si="1"/>
        <v>8950</v>
      </c>
      <c r="H18" s="1" t="s">
        <v>28</v>
      </c>
      <c r="I18" s="1" t="s">
        <v>29</v>
      </c>
      <c r="J18" s="4">
        <v>42507.0</v>
      </c>
      <c r="K18" s="1"/>
      <c r="L18" s="1" t="s">
        <v>23</v>
      </c>
      <c r="M18" s="6">
        <v>75627.76</v>
      </c>
      <c r="N18" s="6">
        <v>67052.33</v>
      </c>
      <c r="O18" s="6">
        <v>33638.7</v>
      </c>
      <c r="P18" s="6">
        <v>125.0</v>
      </c>
      <c r="Q18" s="6">
        <v>100816.03</v>
      </c>
      <c r="R18" s="3"/>
      <c r="S18" s="3"/>
      <c r="T18" s="3"/>
      <c r="U18" s="3"/>
      <c r="V18" s="3"/>
      <c r="W18" s="3"/>
      <c r="X18" s="3"/>
      <c r="Y18" s="3"/>
      <c r="Z18" s="3"/>
    </row>
    <row r="19" ht="15.75" hidden="1" customHeight="1">
      <c r="A19" s="1" t="s">
        <v>80</v>
      </c>
      <c r="B19" s="1" t="s">
        <v>81</v>
      </c>
      <c r="C19" s="1" t="s">
        <v>35</v>
      </c>
      <c r="D19" s="1" t="s">
        <v>36</v>
      </c>
      <c r="E19" s="1">
        <v>0.0</v>
      </c>
      <c r="F19" s="4">
        <v>44872.0</v>
      </c>
      <c r="G19" s="5">
        <f t="shared" si="1"/>
        <v>6663</v>
      </c>
      <c r="H19" s="1" t="s">
        <v>21</v>
      </c>
      <c r="I19" s="1" t="s">
        <v>29</v>
      </c>
      <c r="J19" s="4">
        <v>42642.0</v>
      </c>
      <c r="K19" s="1"/>
      <c r="L19" s="1" t="s">
        <v>23</v>
      </c>
      <c r="M19" s="6">
        <v>29952.0</v>
      </c>
      <c r="N19" s="6">
        <v>11956.0</v>
      </c>
      <c r="O19" s="6" t="s">
        <v>30</v>
      </c>
      <c r="P19" s="6" t="s">
        <v>30</v>
      </c>
      <c r="Q19" s="6">
        <v>11956.0</v>
      </c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" t="s">
        <v>82</v>
      </c>
      <c r="B20" s="1" t="s">
        <v>83</v>
      </c>
      <c r="C20" s="1" t="s">
        <v>84</v>
      </c>
      <c r="D20" s="1" t="s">
        <v>85</v>
      </c>
      <c r="E20" s="1">
        <v>0.0</v>
      </c>
      <c r="F20" s="4">
        <v>34177.0</v>
      </c>
      <c r="G20" s="5">
        <f t="shared" si="1"/>
        <v>1144</v>
      </c>
      <c r="H20" s="1" t="s">
        <v>28</v>
      </c>
      <c r="I20" s="1" t="s">
        <v>29</v>
      </c>
      <c r="J20" s="4">
        <v>34177.0</v>
      </c>
      <c r="K20" s="1"/>
      <c r="L20" s="1" t="s">
        <v>23</v>
      </c>
      <c r="M20" s="6">
        <v>72263.98</v>
      </c>
      <c r="N20" s="6">
        <v>70164.24</v>
      </c>
      <c r="O20" s="6">
        <v>1785.0</v>
      </c>
      <c r="P20" s="6" t="s">
        <v>30</v>
      </c>
      <c r="Q20" s="6">
        <v>71949.24</v>
      </c>
      <c r="R20" s="3"/>
      <c r="S20" s="3"/>
      <c r="T20" s="3"/>
      <c r="U20" s="3"/>
      <c r="V20" s="3"/>
      <c r="W20" s="3"/>
      <c r="X20" s="3"/>
      <c r="Y20" s="3"/>
      <c r="Z20" s="3"/>
    </row>
    <row r="21" ht="15.75" hidden="1" customHeight="1">
      <c r="A21" s="1" t="s">
        <v>86</v>
      </c>
      <c r="B21" s="1" t="s">
        <v>87</v>
      </c>
      <c r="C21" s="1" t="s">
        <v>74</v>
      </c>
      <c r="D21" s="1" t="s">
        <v>88</v>
      </c>
      <c r="E21" s="1">
        <v>0.0</v>
      </c>
      <c r="F21" s="4">
        <v>44767.0</v>
      </c>
      <c r="G21" s="5">
        <f t="shared" si="1"/>
        <v>5921</v>
      </c>
      <c r="H21" s="1" t="s">
        <v>21</v>
      </c>
      <c r="I21" s="1" t="s">
        <v>89</v>
      </c>
      <c r="J21" s="4">
        <v>44767.0</v>
      </c>
      <c r="K21" s="1"/>
      <c r="L21" s="1" t="s">
        <v>23</v>
      </c>
      <c r="M21" s="6">
        <v>41600.0</v>
      </c>
      <c r="N21" s="6">
        <v>16299.71</v>
      </c>
      <c r="O21" s="6">
        <v>510.0</v>
      </c>
      <c r="P21" s="6">
        <v>100.0</v>
      </c>
      <c r="Q21" s="6">
        <v>16909.71</v>
      </c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90</v>
      </c>
      <c r="B22" s="1" t="s">
        <v>91</v>
      </c>
      <c r="C22" s="1" t="s">
        <v>92</v>
      </c>
      <c r="D22" s="1" t="s">
        <v>93</v>
      </c>
      <c r="E22" s="1">
        <v>0.0</v>
      </c>
      <c r="F22" s="4">
        <v>44733.0</v>
      </c>
      <c r="G22" s="5">
        <f t="shared" si="1"/>
        <v>1945</v>
      </c>
      <c r="H22" s="1" t="s">
        <v>28</v>
      </c>
      <c r="I22" s="1" t="s">
        <v>29</v>
      </c>
      <c r="J22" s="4">
        <v>43598.0</v>
      </c>
      <c r="K22" s="4">
        <v>44862.0</v>
      </c>
      <c r="L22" s="1" t="s">
        <v>37</v>
      </c>
      <c r="M22" s="6">
        <v>57470.82</v>
      </c>
      <c r="N22" s="6">
        <v>19989.07</v>
      </c>
      <c r="O22" s="6" t="s">
        <v>30</v>
      </c>
      <c r="P22" s="6" t="s">
        <v>30</v>
      </c>
      <c r="Q22" s="6">
        <v>19989.07</v>
      </c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 t="s">
        <v>94</v>
      </c>
      <c r="B23" s="1" t="s">
        <v>95</v>
      </c>
      <c r="C23" s="1" t="s">
        <v>78</v>
      </c>
      <c r="D23" s="1" t="s">
        <v>79</v>
      </c>
      <c r="E23" s="1">
        <v>0.0</v>
      </c>
      <c r="F23" s="4">
        <v>39257.0</v>
      </c>
      <c r="G23" s="5">
        <f t="shared" si="1"/>
        <v>3206</v>
      </c>
      <c r="H23" s="1" t="s">
        <v>28</v>
      </c>
      <c r="I23" s="1" t="s">
        <v>29</v>
      </c>
      <c r="J23" s="4">
        <v>38929.0</v>
      </c>
      <c r="K23" s="1"/>
      <c r="L23" s="1" t="s">
        <v>23</v>
      </c>
      <c r="M23" s="6">
        <v>77481.46</v>
      </c>
      <c r="N23" s="6">
        <v>76408.62</v>
      </c>
      <c r="O23" s="6">
        <v>10204.98</v>
      </c>
      <c r="P23" s="6">
        <v>125.0</v>
      </c>
      <c r="Q23" s="6">
        <v>86738.6</v>
      </c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 t="s">
        <v>96</v>
      </c>
      <c r="B24" s="1" t="s">
        <v>97</v>
      </c>
      <c r="C24" s="1" t="s">
        <v>78</v>
      </c>
      <c r="D24" s="1" t="s">
        <v>79</v>
      </c>
      <c r="E24" s="1">
        <v>0.0</v>
      </c>
      <c r="F24" s="4">
        <v>44165.0</v>
      </c>
      <c r="G24" s="5">
        <f t="shared" si="1"/>
        <v>7938</v>
      </c>
      <c r="H24" s="1" t="s">
        <v>28</v>
      </c>
      <c r="I24" s="1" t="s">
        <v>29</v>
      </c>
      <c r="J24" s="4">
        <v>44165.0</v>
      </c>
      <c r="K24" s="1"/>
      <c r="L24" s="1" t="s">
        <v>23</v>
      </c>
      <c r="M24" s="6">
        <v>52225.26</v>
      </c>
      <c r="N24" s="6">
        <v>50027.64</v>
      </c>
      <c r="O24" s="6">
        <v>25581.24</v>
      </c>
      <c r="P24" s="6">
        <v>125.0</v>
      </c>
      <c r="Q24" s="6">
        <v>75733.88</v>
      </c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98</v>
      </c>
      <c r="B25" s="1" t="s">
        <v>97</v>
      </c>
      <c r="C25" s="1" t="s">
        <v>99</v>
      </c>
      <c r="D25" s="1" t="s">
        <v>53</v>
      </c>
      <c r="E25" s="1">
        <v>0.0</v>
      </c>
      <c r="F25" s="4">
        <v>42135.0</v>
      </c>
      <c r="G25" s="5">
        <f t="shared" si="1"/>
        <v>4777</v>
      </c>
      <c r="H25" s="1" t="s">
        <v>28</v>
      </c>
      <c r="I25" s="1" t="s">
        <v>22</v>
      </c>
      <c r="J25" s="4">
        <v>42135.0</v>
      </c>
      <c r="K25" s="1"/>
      <c r="L25" s="1" t="s">
        <v>23</v>
      </c>
      <c r="M25" s="6">
        <v>43160.42</v>
      </c>
      <c r="N25" s="6">
        <v>47086.6</v>
      </c>
      <c r="O25" s="6">
        <v>12.6</v>
      </c>
      <c r="P25" s="6" t="s">
        <v>30</v>
      </c>
      <c r="Q25" s="6">
        <v>47099.2</v>
      </c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 t="s">
        <v>100</v>
      </c>
      <c r="B26" s="1" t="s">
        <v>101</v>
      </c>
      <c r="C26" s="1" t="s">
        <v>56</v>
      </c>
      <c r="D26" s="1" t="s">
        <v>102</v>
      </c>
      <c r="E26" s="1">
        <v>0.0</v>
      </c>
      <c r="F26" s="4">
        <v>36640.0</v>
      </c>
      <c r="G26" s="5">
        <f t="shared" si="1"/>
        <v>3088</v>
      </c>
      <c r="H26" s="1" t="s">
        <v>28</v>
      </c>
      <c r="I26" s="1" t="s">
        <v>103</v>
      </c>
      <c r="J26" s="4">
        <v>36640.0</v>
      </c>
      <c r="K26" s="1"/>
      <c r="L26" s="1" t="s">
        <v>23</v>
      </c>
      <c r="M26" s="6">
        <v>75609.66</v>
      </c>
      <c r="N26" s="6">
        <v>75610.54</v>
      </c>
      <c r="O26" s="6" t="s">
        <v>30</v>
      </c>
      <c r="P26" s="6">
        <v>125.0</v>
      </c>
      <c r="Q26" s="6">
        <v>75735.54</v>
      </c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 t="s">
        <v>80</v>
      </c>
      <c r="B27" s="1" t="s">
        <v>104</v>
      </c>
      <c r="C27" s="1" t="s">
        <v>26</v>
      </c>
      <c r="D27" s="1" t="s">
        <v>40</v>
      </c>
      <c r="E27" s="1">
        <v>0.0</v>
      </c>
      <c r="F27" s="4">
        <v>43570.0</v>
      </c>
      <c r="G27" s="5">
        <f t="shared" si="1"/>
        <v>1547</v>
      </c>
      <c r="H27" s="1" t="s">
        <v>28</v>
      </c>
      <c r="I27" s="1" t="s">
        <v>29</v>
      </c>
      <c r="J27" s="4">
        <v>43570.0</v>
      </c>
      <c r="K27" s="4">
        <v>44725.0</v>
      </c>
      <c r="L27" s="1" t="s">
        <v>37</v>
      </c>
      <c r="M27" s="6">
        <v>52748.8</v>
      </c>
      <c r="N27" s="6">
        <v>20711.56</v>
      </c>
      <c r="O27" s="6">
        <v>15417.77</v>
      </c>
      <c r="P27" s="6" t="s">
        <v>30</v>
      </c>
      <c r="Q27" s="6">
        <v>36129.33</v>
      </c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 t="s">
        <v>105</v>
      </c>
      <c r="B28" s="1" t="s">
        <v>106</v>
      </c>
      <c r="C28" s="1" t="s">
        <v>35</v>
      </c>
      <c r="D28" s="1" t="s">
        <v>36</v>
      </c>
      <c r="E28" s="1">
        <v>0.0</v>
      </c>
      <c r="F28" s="4">
        <v>44901.0</v>
      </c>
      <c r="G28" s="5">
        <f t="shared" si="1"/>
        <v>7334</v>
      </c>
      <c r="H28" s="1" t="s">
        <v>28</v>
      </c>
      <c r="I28" s="1" t="s">
        <v>29</v>
      </c>
      <c r="J28" s="4">
        <v>44175.0</v>
      </c>
      <c r="K28" s="1"/>
      <c r="L28" s="1" t="s">
        <v>23</v>
      </c>
      <c r="M28" s="6">
        <v>29952.0</v>
      </c>
      <c r="N28" s="6">
        <v>1914.0</v>
      </c>
      <c r="O28" s="6" t="s">
        <v>30</v>
      </c>
      <c r="P28" s="6">
        <v>100.0</v>
      </c>
      <c r="Q28" s="6">
        <v>2014.0</v>
      </c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107</v>
      </c>
      <c r="B29" s="1" t="s">
        <v>108</v>
      </c>
      <c r="C29" s="1" t="s">
        <v>109</v>
      </c>
      <c r="D29" s="1" t="s">
        <v>110</v>
      </c>
      <c r="E29" s="1">
        <v>0.0</v>
      </c>
      <c r="F29" s="4">
        <v>44823.0</v>
      </c>
      <c r="G29" s="5">
        <f t="shared" si="1"/>
        <v>2278</v>
      </c>
      <c r="H29" s="1" t="s">
        <v>28</v>
      </c>
      <c r="I29" s="1" t="s">
        <v>22</v>
      </c>
      <c r="J29" s="4">
        <v>44823.0</v>
      </c>
      <c r="K29" s="1"/>
      <c r="L29" s="1" t="s">
        <v>23</v>
      </c>
      <c r="M29" s="6">
        <v>54499.95</v>
      </c>
      <c r="N29" s="6">
        <v>13206.06</v>
      </c>
      <c r="O29" s="6" t="s">
        <v>30</v>
      </c>
      <c r="P29" s="6">
        <v>100.0</v>
      </c>
      <c r="Q29" s="6">
        <v>13306.06</v>
      </c>
      <c r="R29" s="3"/>
      <c r="S29" s="3"/>
      <c r="T29" s="3"/>
      <c r="U29" s="3"/>
      <c r="V29" s="3"/>
      <c r="W29" s="3"/>
      <c r="X29" s="3"/>
      <c r="Y29" s="3"/>
      <c r="Z29" s="3"/>
    </row>
    <row r="30" ht="15.75" hidden="1" customHeight="1">
      <c r="A30" s="1" t="s">
        <v>111</v>
      </c>
      <c r="B30" s="1" t="s">
        <v>108</v>
      </c>
      <c r="C30" s="1" t="s">
        <v>112</v>
      </c>
      <c r="D30" s="1" t="s">
        <v>113</v>
      </c>
      <c r="E30" s="1">
        <v>0.0</v>
      </c>
      <c r="F30" s="4">
        <v>44493.0</v>
      </c>
      <c r="G30" s="5">
        <f t="shared" si="1"/>
        <v>1585</v>
      </c>
      <c r="H30" s="1" t="s">
        <v>21</v>
      </c>
      <c r="I30" s="1" t="s">
        <v>29</v>
      </c>
      <c r="J30" s="4">
        <v>44424.0</v>
      </c>
      <c r="K30" s="1"/>
      <c r="L30" s="1" t="s">
        <v>23</v>
      </c>
      <c r="M30" s="6">
        <v>45899.98</v>
      </c>
      <c r="N30" s="6">
        <v>45865.8</v>
      </c>
      <c r="O30" s="6" t="s">
        <v>30</v>
      </c>
      <c r="P30" s="6">
        <v>125.0</v>
      </c>
      <c r="Q30" s="6">
        <v>45990.8</v>
      </c>
      <c r="R30" s="3"/>
      <c r="S30" s="3"/>
      <c r="T30" s="3"/>
      <c r="U30" s="3"/>
      <c r="V30" s="3"/>
      <c r="W30" s="3"/>
      <c r="X30" s="3"/>
      <c r="Y30" s="3"/>
      <c r="Z30" s="3"/>
    </row>
    <row r="31" ht="15.75" hidden="1" customHeight="1">
      <c r="A31" s="1" t="s">
        <v>114</v>
      </c>
      <c r="B31" s="1" t="s">
        <v>115</v>
      </c>
      <c r="C31" s="1" t="s">
        <v>116</v>
      </c>
      <c r="D31" s="1" t="s">
        <v>117</v>
      </c>
      <c r="E31" s="1">
        <v>0.0</v>
      </c>
      <c r="F31" s="4">
        <v>43613.0</v>
      </c>
      <c r="G31" s="5">
        <f t="shared" si="1"/>
        <v>6095</v>
      </c>
      <c r="H31" s="1" t="s">
        <v>21</v>
      </c>
      <c r="I31" s="1" t="s">
        <v>29</v>
      </c>
      <c r="J31" s="4">
        <v>43613.0</v>
      </c>
      <c r="K31" s="4">
        <v>44687.0</v>
      </c>
      <c r="L31" s="1" t="s">
        <v>37</v>
      </c>
      <c r="M31" s="6">
        <v>39446.58</v>
      </c>
      <c r="N31" s="6">
        <v>15889.99</v>
      </c>
      <c r="O31" s="6" t="s">
        <v>30</v>
      </c>
      <c r="P31" s="6" t="s">
        <v>30</v>
      </c>
      <c r="Q31" s="6">
        <v>15889.99</v>
      </c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 t="s">
        <v>118</v>
      </c>
      <c r="B32" s="1" t="s">
        <v>119</v>
      </c>
      <c r="C32" s="1" t="s">
        <v>35</v>
      </c>
      <c r="D32" s="1" t="s">
        <v>53</v>
      </c>
      <c r="E32" s="1">
        <v>0.0</v>
      </c>
      <c r="F32" s="4">
        <v>37963.0</v>
      </c>
      <c r="G32" s="5">
        <f t="shared" si="1"/>
        <v>5334</v>
      </c>
      <c r="H32" s="1" t="s">
        <v>28</v>
      </c>
      <c r="I32" s="1" t="s">
        <v>29</v>
      </c>
      <c r="J32" s="4">
        <v>37963.0</v>
      </c>
      <c r="K32" s="4">
        <v>44589.0</v>
      </c>
      <c r="L32" s="1" t="s">
        <v>37</v>
      </c>
      <c r="M32" s="6">
        <v>43160.42</v>
      </c>
      <c r="N32" s="6">
        <v>7465.93</v>
      </c>
      <c r="O32" s="6" t="s">
        <v>30</v>
      </c>
      <c r="P32" s="6" t="s">
        <v>30</v>
      </c>
      <c r="Q32" s="6">
        <v>7465.93</v>
      </c>
      <c r="R32" s="3"/>
      <c r="S32" s="3"/>
      <c r="T32" s="3"/>
      <c r="U32" s="3"/>
      <c r="V32" s="3"/>
      <c r="W32" s="3"/>
      <c r="X32" s="3"/>
      <c r="Y32" s="3"/>
      <c r="Z32" s="3"/>
    </row>
    <row r="33" ht="15.75" hidden="1" customHeight="1">
      <c r="A33" s="1" t="s">
        <v>120</v>
      </c>
      <c r="B33" s="1" t="s">
        <v>121</v>
      </c>
      <c r="C33" s="1" t="s">
        <v>19</v>
      </c>
      <c r="D33" s="1" t="s">
        <v>122</v>
      </c>
      <c r="E33" s="1">
        <v>0.0</v>
      </c>
      <c r="F33" s="4">
        <v>44655.0</v>
      </c>
      <c r="G33" s="5">
        <f t="shared" si="1"/>
        <v>4634</v>
      </c>
      <c r="H33" s="1" t="s">
        <v>21</v>
      </c>
      <c r="I33" s="1" t="s">
        <v>22</v>
      </c>
      <c r="J33" s="4">
        <v>44655.0</v>
      </c>
      <c r="K33" s="4">
        <v>44912.0</v>
      </c>
      <c r="L33" s="1" t="s">
        <v>37</v>
      </c>
      <c r="M33" s="6">
        <v>31720.0</v>
      </c>
      <c r="N33" s="6">
        <v>19635.8</v>
      </c>
      <c r="O33" s="6">
        <v>5227.1</v>
      </c>
      <c r="P33" s="6">
        <v>225.0</v>
      </c>
      <c r="Q33" s="6">
        <v>25087.9</v>
      </c>
      <c r="R33" s="3"/>
      <c r="S33" s="3"/>
      <c r="T33" s="3"/>
      <c r="U33" s="3"/>
      <c r="V33" s="3"/>
      <c r="W33" s="3"/>
      <c r="X33" s="3"/>
      <c r="Y33" s="3"/>
      <c r="Z33" s="3"/>
    </row>
    <row r="34" ht="15.75" hidden="1" customHeight="1">
      <c r="A34" s="1" t="s">
        <v>123</v>
      </c>
      <c r="B34" s="1" t="s">
        <v>124</v>
      </c>
      <c r="C34" s="1" t="s">
        <v>19</v>
      </c>
      <c r="D34" s="1" t="s">
        <v>125</v>
      </c>
      <c r="E34" s="1">
        <v>0.0</v>
      </c>
      <c r="F34" s="4">
        <v>43556.0</v>
      </c>
      <c r="G34" s="5">
        <f t="shared" si="1"/>
        <v>1635</v>
      </c>
      <c r="H34" s="1" t="s">
        <v>21</v>
      </c>
      <c r="I34" s="1" t="s">
        <v>22</v>
      </c>
      <c r="J34" s="4">
        <v>40014.0</v>
      </c>
      <c r="K34" s="1"/>
      <c r="L34" s="1" t="s">
        <v>23</v>
      </c>
      <c r="M34" s="6">
        <v>46846.8</v>
      </c>
      <c r="N34" s="6">
        <v>46659.97</v>
      </c>
      <c r="O34" s="6">
        <v>5813.05</v>
      </c>
      <c r="P34" s="6">
        <v>125.0</v>
      </c>
      <c r="Q34" s="6">
        <v>52598.02</v>
      </c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 t="s">
        <v>126</v>
      </c>
      <c r="B35" s="1" t="s">
        <v>127</v>
      </c>
      <c r="C35" s="1" t="s">
        <v>60</v>
      </c>
      <c r="D35" s="1" t="s">
        <v>128</v>
      </c>
      <c r="E35" s="1">
        <v>0.0</v>
      </c>
      <c r="F35" s="4">
        <v>43220.0</v>
      </c>
      <c r="G35" s="5">
        <f t="shared" si="1"/>
        <v>7535</v>
      </c>
      <c r="H35" s="1" t="s">
        <v>28</v>
      </c>
      <c r="I35" s="1" t="s">
        <v>29</v>
      </c>
      <c r="J35" s="4">
        <v>43220.0</v>
      </c>
      <c r="K35" s="1"/>
      <c r="L35" s="1" t="s">
        <v>23</v>
      </c>
      <c r="M35" s="6">
        <v>73896.37</v>
      </c>
      <c r="N35" s="6">
        <v>67322.8</v>
      </c>
      <c r="O35" s="6">
        <v>994.76</v>
      </c>
      <c r="P35" s="6">
        <v>100.0</v>
      </c>
      <c r="Q35" s="6">
        <v>68417.56</v>
      </c>
      <c r="R35" s="3"/>
      <c r="S35" s="3"/>
      <c r="T35" s="3"/>
      <c r="U35" s="3"/>
      <c r="V35" s="3"/>
      <c r="W35" s="3"/>
      <c r="X35" s="3"/>
      <c r="Y35" s="3"/>
      <c r="Z35" s="3"/>
    </row>
    <row r="36" ht="15.75" hidden="1" customHeight="1">
      <c r="A36" s="1" t="s">
        <v>129</v>
      </c>
      <c r="B36" s="1" t="s">
        <v>130</v>
      </c>
      <c r="C36" s="1" t="s">
        <v>131</v>
      </c>
      <c r="D36" s="1" t="s">
        <v>132</v>
      </c>
      <c r="E36" s="1">
        <v>0.0</v>
      </c>
      <c r="F36" s="4">
        <v>44788.0</v>
      </c>
      <c r="G36" s="5">
        <f t="shared" si="1"/>
        <v>2836</v>
      </c>
      <c r="H36" s="1" t="s">
        <v>21</v>
      </c>
      <c r="I36" s="1" t="s">
        <v>29</v>
      </c>
      <c r="J36" s="4">
        <v>43613.0</v>
      </c>
      <c r="K36" s="1"/>
      <c r="L36" s="1" t="s">
        <v>23</v>
      </c>
      <c r="M36" s="6">
        <v>37267.98</v>
      </c>
      <c r="N36" s="6">
        <v>22553.8</v>
      </c>
      <c r="O36" s="6" t="s">
        <v>30</v>
      </c>
      <c r="P36" s="6" t="s">
        <v>30</v>
      </c>
      <c r="Q36" s="6">
        <v>22553.8</v>
      </c>
      <c r="R36" s="3"/>
      <c r="S36" s="3"/>
      <c r="T36" s="3"/>
      <c r="U36" s="3"/>
      <c r="V36" s="3"/>
      <c r="W36" s="3"/>
      <c r="X36" s="3"/>
      <c r="Y36" s="3"/>
      <c r="Z36" s="3"/>
    </row>
    <row r="37" ht="15.75" hidden="1" customHeight="1">
      <c r="A37" s="1" t="s">
        <v>133</v>
      </c>
      <c r="B37" s="1" t="s">
        <v>134</v>
      </c>
      <c r="C37" s="1" t="s">
        <v>43</v>
      </c>
      <c r="D37" s="1" t="s">
        <v>135</v>
      </c>
      <c r="E37" s="1">
        <v>0.0</v>
      </c>
      <c r="F37" s="4">
        <v>32776.0</v>
      </c>
      <c r="G37" s="5">
        <f t="shared" si="1"/>
        <v>5564</v>
      </c>
      <c r="H37" s="1" t="s">
        <v>21</v>
      </c>
      <c r="I37" s="1" t="s">
        <v>29</v>
      </c>
      <c r="J37" s="4">
        <v>32776.0</v>
      </c>
      <c r="K37" s="4">
        <v>44565.0</v>
      </c>
      <c r="L37" s="1" t="s">
        <v>37</v>
      </c>
      <c r="M37" s="6">
        <v>45507.28</v>
      </c>
      <c r="N37" s="6">
        <v>2625.43</v>
      </c>
      <c r="O37" s="6" t="s">
        <v>30</v>
      </c>
      <c r="P37" s="6" t="s">
        <v>30</v>
      </c>
      <c r="Q37" s="6">
        <v>2625.43</v>
      </c>
      <c r="R37" s="3"/>
      <c r="S37" s="3"/>
      <c r="T37" s="3"/>
      <c r="U37" s="3"/>
      <c r="V37" s="3"/>
      <c r="W37" s="3"/>
      <c r="X37" s="3"/>
      <c r="Y37" s="3"/>
      <c r="Z37" s="3"/>
    </row>
    <row r="38" ht="15.75" hidden="1" customHeight="1">
      <c r="A38" s="1" t="s">
        <v>136</v>
      </c>
      <c r="B38" s="1" t="s">
        <v>137</v>
      </c>
      <c r="C38" s="1" t="s">
        <v>112</v>
      </c>
      <c r="D38" s="1" t="s">
        <v>138</v>
      </c>
      <c r="E38" s="1">
        <v>0.0</v>
      </c>
      <c r="F38" s="4">
        <v>40931.0</v>
      </c>
      <c r="G38" s="5">
        <f t="shared" si="1"/>
        <v>4974</v>
      </c>
      <c r="H38" s="1" t="s">
        <v>21</v>
      </c>
      <c r="I38" s="1" t="s">
        <v>22</v>
      </c>
      <c r="J38" s="4">
        <v>40931.0</v>
      </c>
      <c r="K38" s="1"/>
      <c r="L38" s="1" t="s">
        <v>23</v>
      </c>
      <c r="M38" s="6">
        <v>40055.39</v>
      </c>
      <c r="N38" s="6">
        <v>39721.74</v>
      </c>
      <c r="O38" s="6" t="s">
        <v>30</v>
      </c>
      <c r="P38" s="6">
        <v>600.83</v>
      </c>
      <c r="Q38" s="6">
        <v>40322.57</v>
      </c>
      <c r="R38" s="3"/>
      <c r="S38" s="3"/>
      <c r="T38" s="3"/>
      <c r="U38" s="3"/>
      <c r="V38" s="3"/>
      <c r="W38" s="3"/>
      <c r="X38" s="3"/>
      <c r="Y38" s="3"/>
      <c r="Z38" s="3"/>
    </row>
    <row r="39" ht="15.75" hidden="1" customHeight="1">
      <c r="A39" s="1" t="s">
        <v>139</v>
      </c>
      <c r="B39" s="1" t="s">
        <v>140</v>
      </c>
      <c r="C39" s="1" t="s">
        <v>26</v>
      </c>
      <c r="D39" s="1" t="s">
        <v>40</v>
      </c>
      <c r="E39" s="1">
        <v>0.0</v>
      </c>
      <c r="F39" s="4">
        <v>44747.0</v>
      </c>
      <c r="G39" s="5">
        <f t="shared" si="1"/>
        <v>6168</v>
      </c>
      <c r="H39" s="1" t="s">
        <v>21</v>
      </c>
      <c r="I39" s="1" t="s">
        <v>29</v>
      </c>
      <c r="J39" s="4">
        <v>44747.0</v>
      </c>
      <c r="K39" s="1"/>
      <c r="L39" s="1" t="s">
        <v>23</v>
      </c>
      <c r="M39" s="6">
        <v>52240.03</v>
      </c>
      <c r="N39" s="6">
        <v>20543.9</v>
      </c>
      <c r="O39" s="6">
        <v>11230.6</v>
      </c>
      <c r="P39" s="6">
        <v>100.0</v>
      </c>
      <c r="Q39" s="6">
        <v>31874.5</v>
      </c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 t="s">
        <v>141</v>
      </c>
      <c r="B40" s="1" t="s">
        <v>142</v>
      </c>
      <c r="C40" s="1" t="s">
        <v>74</v>
      </c>
      <c r="D40" s="1" t="s">
        <v>57</v>
      </c>
      <c r="E40" s="1">
        <v>0.0</v>
      </c>
      <c r="F40" s="4">
        <v>43879.0</v>
      </c>
      <c r="G40" s="5">
        <f t="shared" si="1"/>
        <v>2965</v>
      </c>
      <c r="H40" s="1" t="s">
        <v>28</v>
      </c>
      <c r="I40" s="1" t="s">
        <v>22</v>
      </c>
      <c r="J40" s="4">
        <v>43879.0</v>
      </c>
      <c r="K40" s="1"/>
      <c r="L40" s="1" t="s">
        <v>23</v>
      </c>
      <c r="M40" s="6">
        <v>35096.88</v>
      </c>
      <c r="N40" s="6">
        <v>35176.09</v>
      </c>
      <c r="O40" s="6">
        <v>2016.12</v>
      </c>
      <c r="P40" s="6" t="s">
        <v>30</v>
      </c>
      <c r="Q40" s="6">
        <v>37192.21</v>
      </c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7"/>
      <c r="G41" s="8"/>
      <c r="H41" s="3"/>
      <c r="I41" s="3"/>
      <c r="J41" s="7"/>
      <c r="K41" s="3"/>
      <c r="L41" s="3"/>
      <c r="M41" s="9"/>
      <c r="N41" s="9"/>
      <c r="O41" s="9"/>
      <c r="P41" s="9"/>
      <c r="Q41" s="9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7"/>
      <c r="G42" s="7"/>
      <c r="H42" s="3"/>
      <c r="I42" s="3"/>
      <c r="J42" s="7"/>
      <c r="K42" s="3"/>
      <c r="L42" s="3"/>
      <c r="M42" s="10"/>
      <c r="N42" s="10"/>
      <c r="O42" s="10"/>
      <c r="P42" s="3"/>
      <c r="Q42" s="10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7"/>
      <c r="G43" s="7"/>
      <c r="H43" s="3"/>
      <c r="I43" s="3"/>
      <c r="J43" s="7"/>
      <c r="K43" s="7"/>
      <c r="L43" s="3"/>
      <c r="M43" s="10"/>
      <c r="N43" s="10"/>
      <c r="O43" s="3"/>
      <c r="P43" s="3"/>
      <c r="Q43" s="10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7"/>
      <c r="G44" s="7"/>
      <c r="H44" s="3"/>
      <c r="I44" s="3"/>
      <c r="J44" s="7"/>
      <c r="K44" s="7"/>
      <c r="L44" s="3"/>
      <c r="M44" s="10"/>
      <c r="N44" s="10"/>
      <c r="O44" s="3"/>
      <c r="P44" s="3"/>
      <c r="Q44" s="10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7"/>
      <c r="G45" s="7"/>
      <c r="H45" s="3"/>
      <c r="I45" s="3"/>
      <c r="J45" s="7"/>
      <c r="K45" s="7"/>
      <c r="L45" s="3"/>
      <c r="M45" s="10"/>
      <c r="N45" s="10"/>
      <c r="O45" s="3"/>
      <c r="P45" s="3"/>
      <c r="Q45" s="10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7"/>
      <c r="G46" s="7"/>
      <c r="H46" s="3"/>
      <c r="I46" s="3"/>
      <c r="J46" s="7"/>
      <c r="K46" s="3"/>
      <c r="L46" s="3"/>
      <c r="M46" s="10"/>
      <c r="N46" s="10"/>
      <c r="O46" s="3"/>
      <c r="P46" s="3"/>
      <c r="Q46" s="10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7"/>
      <c r="G47" s="7"/>
      <c r="H47" s="3"/>
      <c r="I47" s="3"/>
      <c r="J47" s="7"/>
      <c r="K47" s="3"/>
      <c r="L47" s="3"/>
      <c r="M47" s="10"/>
      <c r="N47" s="10"/>
      <c r="O47" s="10"/>
      <c r="P47" s="3"/>
      <c r="Q47" s="10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7"/>
      <c r="G48" s="7"/>
      <c r="H48" s="3"/>
      <c r="I48" s="3"/>
      <c r="J48" s="7"/>
      <c r="K48" s="3"/>
      <c r="L48" s="3"/>
      <c r="M48" s="10"/>
      <c r="N48" s="10"/>
      <c r="O48" s="10"/>
      <c r="P48" s="3"/>
      <c r="Q48" s="10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7"/>
      <c r="G49" s="7"/>
      <c r="H49" s="3"/>
      <c r="I49" s="3"/>
      <c r="J49" s="7"/>
      <c r="K49" s="3"/>
      <c r="L49" s="3"/>
      <c r="M49" s="10"/>
      <c r="N49" s="10"/>
      <c r="O49" s="3"/>
      <c r="P49" s="3"/>
      <c r="Q49" s="10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7"/>
      <c r="G50" s="7"/>
      <c r="H50" s="3"/>
      <c r="I50" s="3"/>
      <c r="J50" s="7"/>
      <c r="K50" s="3"/>
      <c r="L50" s="3"/>
      <c r="M50" s="10"/>
      <c r="N50" s="10"/>
      <c r="O50" s="3"/>
      <c r="P50" s="3"/>
      <c r="Q50" s="10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7"/>
      <c r="G51" s="7"/>
      <c r="H51" s="3"/>
      <c r="I51" s="3"/>
      <c r="J51" s="7"/>
      <c r="K51" s="7"/>
      <c r="L51" s="3"/>
      <c r="M51" s="10"/>
      <c r="N51" s="10"/>
      <c r="O51" s="10"/>
      <c r="P51" s="3"/>
      <c r="Q51" s="10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7"/>
      <c r="G52" s="7"/>
      <c r="H52" s="3"/>
      <c r="I52" s="3"/>
      <c r="J52" s="7"/>
      <c r="K52" s="3"/>
      <c r="L52" s="3"/>
      <c r="M52" s="10"/>
      <c r="N52" s="10"/>
      <c r="O52" s="10"/>
      <c r="P52" s="3"/>
      <c r="Q52" s="10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7"/>
      <c r="G53" s="7"/>
      <c r="H53" s="3"/>
      <c r="I53" s="3"/>
      <c r="J53" s="7"/>
      <c r="K53" s="3"/>
      <c r="L53" s="3"/>
      <c r="M53" s="10"/>
      <c r="N53" s="10"/>
      <c r="O53" s="10"/>
      <c r="P53" s="3"/>
      <c r="Q53" s="10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7"/>
      <c r="G54" s="7"/>
      <c r="H54" s="3"/>
      <c r="I54" s="3"/>
      <c r="J54" s="7"/>
      <c r="K54" s="3"/>
      <c r="L54" s="3"/>
      <c r="M54" s="10"/>
      <c r="N54" s="10"/>
      <c r="O54" s="3"/>
      <c r="P54" s="3"/>
      <c r="Q54" s="10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7"/>
      <c r="G55" s="7"/>
      <c r="H55" s="3"/>
      <c r="I55" s="3"/>
      <c r="J55" s="7"/>
      <c r="K55" s="3"/>
      <c r="L55" s="3"/>
      <c r="M55" s="10"/>
      <c r="N55" s="10"/>
      <c r="O55" s="10"/>
      <c r="P55" s="3"/>
      <c r="Q55" s="10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7"/>
      <c r="G56" s="7"/>
      <c r="H56" s="3"/>
      <c r="I56" s="3"/>
      <c r="J56" s="7"/>
      <c r="K56" s="3"/>
      <c r="L56" s="3"/>
      <c r="M56" s="10"/>
      <c r="N56" s="10"/>
      <c r="O56" s="10"/>
      <c r="P56" s="3"/>
      <c r="Q56" s="10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7"/>
      <c r="G57" s="7"/>
      <c r="H57" s="3"/>
      <c r="I57" s="3"/>
      <c r="J57" s="7"/>
      <c r="K57" s="3"/>
      <c r="L57" s="3"/>
      <c r="M57" s="10"/>
      <c r="N57" s="10"/>
      <c r="O57" s="10"/>
      <c r="P57" s="3"/>
      <c r="Q57" s="10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7"/>
      <c r="G58" s="7"/>
      <c r="H58" s="3"/>
      <c r="I58" s="3"/>
      <c r="J58" s="7"/>
      <c r="K58" s="7"/>
      <c r="L58" s="3"/>
      <c r="M58" s="10"/>
      <c r="N58" s="10"/>
      <c r="O58" s="10"/>
      <c r="P58" s="3"/>
      <c r="Q58" s="10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7"/>
      <c r="G59" s="7"/>
      <c r="H59" s="3"/>
      <c r="I59" s="3"/>
      <c r="J59" s="7"/>
      <c r="K59" s="7"/>
      <c r="L59" s="3"/>
      <c r="M59" s="10"/>
      <c r="N59" s="10"/>
      <c r="O59" s="3"/>
      <c r="P59" s="3"/>
      <c r="Q59" s="10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7"/>
      <c r="G60" s="7"/>
      <c r="H60" s="3"/>
      <c r="I60" s="3"/>
      <c r="J60" s="7"/>
      <c r="K60" s="3"/>
      <c r="L60" s="3"/>
      <c r="M60" s="10"/>
      <c r="N60" s="10"/>
      <c r="O60" s="10"/>
      <c r="P60" s="3"/>
      <c r="Q60" s="10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7"/>
      <c r="G61" s="7"/>
      <c r="H61" s="3"/>
      <c r="I61" s="3"/>
      <c r="J61" s="7"/>
      <c r="K61" s="3"/>
      <c r="L61" s="3"/>
      <c r="M61" s="10"/>
      <c r="N61" s="10"/>
      <c r="O61" s="10"/>
      <c r="P61" s="3"/>
      <c r="Q61" s="10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7"/>
      <c r="G62" s="7"/>
      <c r="H62" s="3"/>
      <c r="I62" s="3"/>
      <c r="J62" s="7"/>
      <c r="K62" s="3"/>
      <c r="L62" s="3"/>
      <c r="M62" s="10"/>
      <c r="N62" s="10"/>
      <c r="O62" s="3"/>
      <c r="P62" s="3"/>
      <c r="Q62" s="10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7"/>
      <c r="G63" s="7"/>
      <c r="H63" s="3"/>
      <c r="I63" s="3"/>
      <c r="J63" s="7"/>
      <c r="K63" s="3"/>
      <c r="L63" s="3"/>
      <c r="M63" s="10"/>
      <c r="N63" s="10"/>
      <c r="O63" s="3"/>
      <c r="P63" s="3"/>
      <c r="Q63" s="10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7"/>
      <c r="G64" s="7"/>
      <c r="H64" s="3"/>
      <c r="I64" s="3"/>
      <c r="J64" s="7"/>
      <c r="K64" s="3"/>
      <c r="L64" s="3"/>
      <c r="M64" s="10"/>
      <c r="N64" s="10"/>
      <c r="O64" s="3"/>
      <c r="P64" s="3"/>
      <c r="Q64" s="10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7"/>
      <c r="G65" s="7"/>
      <c r="H65" s="3"/>
      <c r="I65" s="3"/>
      <c r="J65" s="7"/>
      <c r="K65" s="3"/>
      <c r="L65" s="3"/>
      <c r="M65" s="10"/>
      <c r="N65" s="10"/>
      <c r="O65" s="3"/>
      <c r="P65" s="3"/>
      <c r="Q65" s="10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7"/>
      <c r="G66" s="7"/>
      <c r="H66" s="3"/>
      <c r="I66" s="3"/>
      <c r="J66" s="7"/>
      <c r="K66" s="3"/>
      <c r="L66" s="3"/>
      <c r="M66" s="10"/>
      <c r="N66" s="10"/>
      <c r="O66" s="10"/>
      <c r="P66" s="3"/>
      <c r="Q66" s="10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7"/>
      <c r="G67" s="7"/>
      <c r="H67" s="3"/>
      <c r="I67" s="3"/>
      <c r="J67" s="7"/>
      <c r="K67" s="3"/>
      <c r="L67" s="3"/>
      <c r="M67" s="10"/>
      <c r="N67" s="10"/>
      <c r="O67" s="10"/>
      <c r="P67" s="3"/>
      <c r="Q67" s="10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7"/>
      <c r="G68" s="7"/>
      <c r="H68" s="3"/>
      <c r="I68" s="3"/>
      <c r="J68" s="7"/>
      <c r="K68" s="7"/>
      <c r="L68" s="3"/>
      <c r="M68" s="10"/>
      <c r="N68" s="10"/>
      <c r="O68" s="3"/>
      <c r="P68" s="3"/>
      <c r="Q68" s="10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7"/>
      <c r="G69" s="7"/>
      <c r="H69" s="3"/>
      <c r="I69" s="3"/>
      <c r="J69" s="7"/>
      <c r="K69" s="3"/>
      <c r="L69" s="3"/>
      <c r="M69" s="10"/>
      <c r="N69" s="10"/>
      <c r="O69" s="3"/>
      <c r="P69" s="3"/>
      <c r="Q69" s="10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7"/>
      <c r="G70" s="7"/>
      <c r="H70" s="3"/>
      <c r="I70" s="3"/>
      <c r="J70" s="7"/>
      <c r="K70" s="3"/>
      <c r="L70" s="3"/>
      <c r="M70" s="10"/>
      <c r="N70" s="10"/>
      <c r="O70" s="3"/>
      <c r="P70" s="3"/>
      <c r="Q70" s="10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7"/>
      <c r="G71" s="7"/>
      <c r="H71" s="3"/>
      <c r="I71" s="3"/>
      <c r="J71" s="7"/>
      <c r="K71" s="3"/>
      <c r="L71" s="3"/>
      <c r="M71" s="10"/>
      <c r="N71" s="10"/>
      <c r="O71" s="3"/>
      <c r="P71" s="3"/>
      <c r="Q71" s="10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7"/>
      <c r="G72" s="7"/>
      <c r="H72" s="3"/>
      <c r="I72" s="3"/>
      <c r="J72" s="7"/>
      <c r="K72" s="3"/>
      <c r="L72" s="3"/>
      <c r="M72" s="10"/>
      <c r="N72" s="10"/>
      <c r="O72" s="3"/>
      <c r="P72" s="3"/>
      <c r="Q72" s="10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7"/>
      <c r="G73" s="7"/>
      <c r="H73" s="3"/>
      <c r="I73" s="3"/>
      <c r="J73" s="7"/>
      <c r="K73" s="3"/>
      <c r="L73" s="3"/>
      <c r="M73" s="10"/>
      <c r="N73" s="10"/>
      <c r="O73" s="3"/>
      <c r="P73" s="3"/>
      <c r="Q73" s="10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7"/>
      <c r="G74" s="7"/>
      <c r="H74" s="3"/>
      <c r="I74" s="3"/>
      <c r="J74" s="7"/>
      <c r="K74" s="3"/>
      <c r="L74" s="3"/>
      <c r="M74" s="10"/>
      <c r="N74" s="10"/>
      <c r="O74" s="3"/>
      <c r="P74" s="3"/>
      <c r="Q74" s="10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7"/>
      <c r="G75" s="7"/>
      <c r="H75" s="3"/>
      <c r="I75" s="3"/>
      <c r="J75" s="7"/>
      <c r="K75" s="3"/>
      <c r="L75" s="3"/>
      <c r="M75" s="10"/>
      <c r="N75" s="10"/>
      <c r="O75" s="3"/>
      <c r="P75" s="3"/>
      <c r="Q75" s="10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7"/>
      <c r="G76" s="7"/>
      <c r="H76" s="3"/>
      <c r="I76" s="3"/>
      <c r="J76" s="7"/>
      <c r="K76" s="3"/>
      <c r="L76" s="3"/>
      <c r="M76" s="10"/>
      <c r="N76" s="10"/>
      <c r="O76" s="10"/>
      <c r="P76" s="3"/>
      <c r="Q76" s="10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7"/>
      <c r="G77" s="7"/>
      <c r="H77" s="3"/>
      <c r="I77" s="3"/>
      <c r="J77" s="7"/>
      <c r="K77" s="3"/>
      <c r="L77" s="3"/>
      <c r="M77" s="10"/>
      <c r="N77" s="10"/>
      <c r="O77" s="3"/>
      <c r="P77" s="3"/>
      <c r="Q77" s="10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7"/>
      <c r="G78" s="7"/>
      <c r="H78" s="3"/>
      <c r="I78" s="3"/>
      <c r="J78" s="7"/>
      <c r="K78" s="3"/>
      <c r="L78" s="3"/>
      <c r="M78" s="10"/>
      <c r="N78" s="10"/>
      <c r="O78" s="10"/>
      <c r="P78" s="3"/>
      <c r="Q78" s="10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7"/>
      <c r="G79" s="7"/>
      <c r="H79" s="3"/>
      <c r="I79" s="3"/>
      <c r="J79" s="7"/>
      <c r="K79" s="3"/>
      <c r="L79" s="3"/>
      <c r="M79" s="10"/>
      <c r="N79" s="10"/>
      <c r="O79" s="10"/>
      <c r="P79" s="3"/>
      <c r="Q79" s="10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7"/>
      <c r="G80" s="7"/>
      <c r="H80" s="3"/>
      <c r="I80" s="3"/>
      <c r="J80" s="7"/>
      <c r="K80" s="3"/>
      <c r="L80" s="3"/>
      <c r="M80" s="10"/>
      <c r="N80" s="10"/>
      <c r="O80" s="3"/>
      <c r="P80" s="3"/>
      <c r="Q80" s="10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7"/>
      <c r="G81" s="7"/>
      <c r="H81" s="3"/>
      <c r="I81" s="3"/>
      <c r="J81" s="7"/>
      <c r="K81" s="3"/>
      <c r="L81" s="3"/>
      <c r="M81" s="10"/>
      <c r="N81" s="10"/>
      <c r="O81" s="3"/>
      <c r="P81" s="3"/>
      <c r="Q81" s="10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7"/>
      <c r="G82" s="7"/>
      <c r="H82" s="3"/>
      <c r="I82" s="3"/>
      <c r="J82" s="7"/>
      <c r="K82" s="3"/>
      <c r="L82" s="3"/>
      <c r="M82" s="10"/>
      <c r="N82" s="10"/>
      <c r="O82" s="3"/>
      <c r="P82" s="3"/>
      <c r="Q82" s="10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7"/>
      <c r="G83" s="7"/>
      <c r="H83" s="3"/>
      <c r="I83" s="3"/>
      <c r="J83" s="7"/>
      <c r="K83" s="3"/>
      <c r="L83" s="3"/>
      <c r="M83" s="10"/>
      <c r="N83" s="10"/>
      <c r="O83" s="3"/>
      <c r="P83" s="3"/>
      <c r="Q83" s="10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7"/>
      <c r="G84" s="7"/>
      <c r="H84" s="3"/>
      <c r="I84" s="3"/>
      <c r="J84" s="7"/>
      <c r="K84" s="3"/>
      <c r="L84" s="3"/>
      <c r="M84" s="10"/>
      <c r="N84" s="10"/>
      <c r="O84" s="3"/>
      <c r="P84" s="3"/>
      <c r="Q84" s="10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7"/>
      <c r="G85" s="7"/>
      <c r="H85" s="3"/>
      <c r="I85" s="3"/>
      <c r="J85" s="7"/>
      <c r="K85" s="7"/>
      <c r="L85" s="3"/>
      <c r="M85" s="10"/>
      <c r="N85" s="10"/>
      <c r="O85" s="3"/>
      <c r="P85" s="3"/>
      <c r="Q85" s="10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7"/>
      <c r="G86" s="7"/>
      <c r="H86" s="3"/>
      <c r="I86" s="3"/>
      <c r="J86" s="7"/>
      <c r="K86" s="3"/>
      <c r="L86" s="3"/>
      <c r="M86" s="10"/>
      <c r="N86" s="10"/>
      <c r="O86" s="10"/>
      <c r="P86" s="3"/>
      <c r="Q86" s="10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7"/>
      <c r="G87" s="7"/>
      <c r="H87" s="3"/>
      <c r="I87" s="3"/>
      <c r="J87" s="7"/>
      <c r="K87" s="3"/>
      <c r="L87" s="3"/>
      <c r="M87" s="10"/>
      <c r="N87" s="10"/>
      <c r="O87" s="3"/>
      <c r="P87" s="3"/>
      <c r="Q87" s="10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7"/>
      <c r="G88" s="7"/>
      <c r="H88" s="3"/>
      <c r="I88" s="3"/>
      <c r="J88" s="7"/>
      <c r="K88" s="3"/>
      <c r="L88" s="3"/>
      <c r="M88" s="10"/>
      <c r="N88" s="10"/>
      <c r="O88" s="3"/>
      <c r="P88" s="3"/>
      <c r="Q88" s="10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7"/>
      <c r="G89" s="7"/>
      <c r="H89" s="3"/>
      <c r="I89" s="3"/>
      <c r="J89" s="7"/>
      <c r="K89" s="3"/>
      <c r="L89" s="3"/>
      <c r="M89" s="10"/>
      <c r="N89" s="10"/>
      <c r="O89" s="10"/>
      <c r="P89" s="3"/>
      <c r="Q89" s="10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7"/>
      <c r="G90" s="7"/>
      <c r="H90" s="3"/>
      <c r="I90" s="3"/>
      <c r="J90" s="7"/>
      <c r="K90" s="7"/>
      <c r="L90" s="3"/>
      <c r="M90" s="10"/>
      <c r="N90" s="10"/>
      <c r="O90" s="3"/>
      <c r="P90" s="3"/>
      <c r="Q90" s="10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7"/>
      <c r="G91" s="7"/>
      <c r="H91" s="3"/>
      <c r="I91" s="3"/>
      <c r="J91" s="7"/>
      <c r="K91" s="7"/>
      <c r="L91" s="3"/>
      <c r="M91" s="10"/>
      <c r="N91" s="10"/>
      <c r="O91" s="3"/>
      <c r="P91" s="3"/>
      <c r="Q91" s="10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7"/>
      <c r="G92" s="7"/>
      <c r="H92" s="3"/>
      <c r="I92" s="3"/>
      <c r="J92" s="7"/>
      <c r="K92" s="7"/>
      <c r="L92" s="3"/>
      <c r="M92" s="10"/>
      <c r="N92" s="10"/>
      <c r="O92" s="3"/>
      <c r="P92" s="3"/>
      <c r="Q92" s="10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7"/>
      <c r="G93" s="7"/>
      <c r="H93" s="3"/>
      <c r="I93" s="3"/>
      <c r="J93" s="7"/>
      <c r="K93" s="7"/>
      <c r="L93" s="3"/>
      <c r="M93" s="10"/>
      <c r="N93" s="10"/>
      <c r="O93" s="3"/>
      <c r="P93" s="3"/>
      <c r="Q93" s="10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7"/>
      <c r="G94" s="7"/>
      <c r="H94" s="3"/>
      <c r="I94" s="3"/>
      <c r="J94" s="7"/>
      <c r="K94" s="7"/>
      <c r="L94" s="3"/>
      <c r="M94" s="10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7"/>
      <c r="G95" s="7"/>
      <c r="H95" s="3"/>
      <c r="I95" s="3"/>
      <c r="J95" s="7"/>
      <c r="K95" s="3"/>
      <c r="L95" s="3"/>
      <c r="M95" s="10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7"/>
      <c r="G96" s="7"/>
      <c r="H96" s="3"/>
      <c r="I96" s="3"/>
      <c r="J96" s="7"/>
      <c r="K96" s="3"/>
      <c r="L96" s="3"/>
      <c r="M96" s="10"/>
      <c r="N96" s="10"/>
      <c r="O96" s="10"/>
      <c r="P96" s="3"/>
      <c r="Q96" s="10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7"/>
      <c r="G97" s="7"/>
      <c r="H97" s="3"/>
      <c r="I97" s="3"/>
      <c r="J97" s="7"/>
      <c r="K97" s="3"/>
      <c r="L97" s="3"/>
      <c r="M97" s="10"/>
      <c r="N97" s="10"/>
      <c r="O97" s="3"/>
      <c r="P97" s="3"/>
      <c r="Q97" s="10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7"/>
      <c r="G98" s="7"/>
      <c r="H98" s="3"/>
      <c r="I98" s="3"/>
      <c r="J98" s="7"/>
      <c r="K98" s="3"/>
      <c r="L98" s="3"/>
      <c r="M98" s="10"/>
      <c r="N98" s="10"/>
      <c r="O98" s="3"/>
      <c r="P98" s="3"/>
      <c r="Q98" s="10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7"/>
      <c r="G99" s="7"/>
      <c r="H99" s="3"/>
      <c r="I99" s="3"/>
      <c r="J99" s="7"/>
      <c r="K99" s="3"/>
      <c r="L99" s="3"/>
      <c r="M99" s="10"/>
      <c r="N99" s="10"/>
      <c r="O99" s="10"/>
      <c r="P99" s="3"/>
      <c r="Q99" s="10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7"/>
      <c r="G100" s="7"/>
      <c r="H100" s="3"/>
      <c r="I100" s="3"/>
      <c r="J100" s="7"/>
      <c r="K100" s="3"/>
      <c r="L100" s="3"/>
      <c r="M100" s="10"/>
      <c r="N100" s="10"/>
      <c r="O100" s="10"/>
      <c r="P100" s="3"/>
      <c r="Q100" s="10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7"/>
      <c r="G101" s="7"/>
      <c r="H101" s="3"/>
      <c r="I101" s="3"/>
      <c r="J101" s="7"/>
      <c r="K101" s="3"/>
      <c r="L101" s="3"/>
      <c r="M101" s="10"/>
      <c r="N101" s="10"/>
      <c r="O101" s="3"/>
      <c r="P101" s="3"/>
      <c r="Q101" s="10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7"/>
      <c r="G102" s="7"/>
      <c r="H102" s="3"/>
      <c r="I102" s="3"/>
      <c r="J102" s="7"/>
      <c r="K102" s="3"/>
      <c r="L102" s="3"/>
      <c r="M102" s="10"/>
      <c r="N102" s="10"/>
      <c r="O102" s="3"/>
      <c r="P102" s="10"/>
      <c r="Q102" s="10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7"/>
      <c r="G103" s="7"/>
      <c r="H103" s="3"/>
      <c r="I103" s="3"/>
      <c r="J103" s="7"/>
      <c r="K103" s="3"/>
      <c r="L103" s="3"/>
      <c r="M103" s="10"/>
      <c r="N103" s="10"/>
      <c r="O103" s="3"/>
      <c r="P103" s="3"/>
      <c r="Q103" s="10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7"/>
      <c r="G104" s="7"/>
      <c r="H104" s="3"/>
      <c r="I104" s="3"/>
      <c r="J104" s="7"/>
      <c r="K104" s="3"/>
      <c r="L104" s="3"/>
      <c r="M104" s="10"/>
      <c r="N104" s="10"/>
      <c r="O104" s="10"/>
      <c r="P104" s="3"/>
      <c r="Q104" s="10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7"/>
      <c r="G105" s="7"/>
      <c r="H105" s="3"/>
      <c r="I105" s="3"/>
      <c r="J105" s="7"/>
      <c r="K105" s="3"/>
      <c r="L105" s="3"/>
      <c r="M105" s="10"/>
      <c r="N105" s="10"/>
      <c r="O105" s="10"/>
      <c r="P105" s="3"/>
      <c r="Q105" s="10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7"/>
      <c r="G106" s="7"/>
      <c r="H106" s="3"/>
      <c r="I106" s="3"/>
      <c r="J106" s="7"/>
      <c r="K106" s="3"/>
      <c r="L106" s="3"/>
      <c r="M106" s="10"/>
      <c r="N106" s="10"/>
      <c r="O106" s="10"/>
      <c r="P106" s="3"/>
      <c r="Q106" s="10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7"/>
      <c r="G107" s="7"/>
      <c r="H107" s="3"/>
      <c r="I107" s="3"/>
      <c r="J107" s="7"/>
      <c r="K107" s="3"/>
      <c r="L107" s="3"/>
      <c r="M107" s="10"/>
      <c r="N107" s="10"/>
      <c r="O107" s="3"/>
      <c r="P107" s="3"/>
      <c r="Q107" s="10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7"/>
      <c r="G108" s="7"/>
      <c r="H108" s="3"/>
      <c r="I108" s="3"/>
      <c r="J108" s="7"/>
      <c r="K108" s="3"/>
      <c r="L108" s="3"/>
      <c r="M108" s="10"/>
      <c r="N108" s="10"/>
      <c r="O108" s="3"/>
      <c r="P108" s="3"/>
      <c r="Q108" s="10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7"/>
      <c r="G109" s="7"/>
      <c r="H109" s="3"/>
      <c r="I109" s="3"/>
      <c r="J109" s="7"/>
      <c r="K109" s="7"/>
      <c r="L109" s="3"/>
      <c r="M109" s="10"/>
      <c r="N109" s="10"/>
      <c r="O109" s="3"/>
      <c r="P109" s="3"/>
      <c r="Q109" s="10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7"/>
      <c r="G110" s="7"/>
      <c r="H110" s="3"/>
      <c r="I110" s="3"/>
      <c r="J110" s="7"/>
      <c r="K110" s="3"/>
      <c r="L110" s="3"/>
      <c r="M110" s="10"/>
      <c r="N110" s="10"/>
      <c r="O110" s="10"/>
      <c r="P110" s="3"/>
      <c r="Q110" s="10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7"/>
      <c r="G111" s="7"/>
      <c r="H111" s="3"/>
      <c r="I111" s="3"/>
      <c r="J111" s="7"/>
      <c r="K111" s="3"/>
      <c r="L111" s="3"/>
      <c r="M111" s="10"/>
      <c r="N111" s="10"/>
      <c r="O111" s="10"/>
      <c r="P111" s="3"/>
      <c r="Q111" s="10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7"/>
      <c r="G112" s="7"/>
      <c r="H112" s="3"/>
      <c r="I112" s="3"/>
      <c r="J112" s="7"/>
      <c r="K112" s="3"/>
      <c r="L112" s="3"/>
      <c r="M112" s="10"/>
      <c r="N112" s="10"/>
      <c r="O112" s="10"/>
      <c r="P112" s="3"/>
      <c r="Q112" s="10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7"/>
      <c r="G113" s="7"/>
      <c r="H113" s="3"/>
      <c r="I113" s="3"/>
      <c r="J113" s="7"/>
      <c r="K113" s="3"/>
      <c r="L113" s="3"/>
      <c r="M113" s="10"/>
      <c r="N113" s="10"/>
      <c r="O113" s="3"/>
      <c r="P113" s="3"/>
      <c r="Q113" s="10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7"/>
      <c r="G114" s="7"/>
      <c r="H114" s="3"/>
      <c r="I114" s="3"/>
      <c r="J114" s="7"/>
      <c r="K114" s="7"/>
      <c r="L114" s="3"/>
      <c r="M114" s="10"/>
      <c r="N114" s="10"/>
      <c r="O114" s="3"/>
      <c r="P114" s="3"/>
      <c r="Q114" s="10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7"/>
      <c r="G115" s="7"/>
      <c r="H115" s="3"/>
      <c r="I115" s="3"/>
      <c r="J115" s="7"/>
      <c r="K115" s="3"/>
      <c r="L115" s="3"/>
      <c r="M115" s="10"/>
      <c r="N115" s="10"/>
      <c r="O115" s="3"/>
      <c r="P115" s="3"/>
      <c r="Q115" s="10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7"/>
      <c r="G116" s="7"/>
      <c r="H116" s="3"/>
      <c r="I116" s="3"/>
      <c r="J116" s="7"/>
      <c r="K116" s="7"/>
      <c r="L116" s="3"/>
      <c r="M116" s="10"/>
      <c r="N116" s="10"/>
      <c r="O116" s="10"/>
      <c r="P116" s="3"/>
      <c r="Q116" s="10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7"/>
      <c r="G117" s="7"/>
      <c r="H117" s="3"/>
      <c r="I117" s="3"/>
      <c r="J117" s="7"/>
      <c r="K117" s="3"/>
      <c r="L117" s="3"/>
      <c r="M117" s="10"/>
      <c r="N117" s="10"/>
      <c r="O117" s="3"/>
      <c r="P117" s="3"/>
      <c r="Q117" s="10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7"/>
      <c r="G118" s="7"/>
      <c r="H118" s="3"/>
      <c r="I118" s="3"/>
      <c r="J118" s="7"/>
      <c r="K118" s="3"/>
      <c r="L118" s="3"/>
      <c r="M118" s="10"/>
      <c r="N118" s="10"/>
      <c r="O118" s="3"/>
      <c r="P118" s="3"/>
      <c r="Q118" s="10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7"/>
      <c r="G119" s="7"/>
      <c r="H119" s="3"/>
      <c r="I119" s="3"/>
      <c r="J119" s="7"/>
      <c r="K119" s="3"/>
      <c r="L119" s="3"/>
      <c r="M119" s="10"/>
      <c r="N119" s="10"/>
      <c r="O119" s="10"/>
      <c r="P119" s="3"/>
      <c r="Q119" s="10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7"/>
      <c r="G120" s="7"/>
      <c r="H120" s="3"/>
      <c r="I120" s="3"/>
      <c r="J120" s="7"/>
      <c r="K120" s="7"/>
      <c r="L120" s="3"/>
      <c r="M120" s="10"/>
      <c r="N120" s="10"/>
      <c r="O120" s="3"/>
      <c r="P120" s="3"/>
      <c r="Q120" s="10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7"/>
      <c r="G121" s="7"/>
      <c r="H121" s="3"/>
      <c r="I121" s="3"/>
      <c r="J121" s="7"/>
      <c r="K121" s="3"/>
      <c r="L121" s="3"/>
      <c r="M121" s="10"/>
      <c r="N121" s="10"/>
      <c r="O121" s="10"/>
      <c r="P121" s="3"/>
      <c r="Q121" s="10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7"/>
      <c r="G122" s="7"/>
      <c r="H122" s="3"/>
      <c r="I122" s="3"/>
      <c r="J122" s="7"/>
      <c r="K122" s="7"/>
      <c r="L122" s="3"/>
      <c r="M122" s="10"/>
      <c r="N122" s="10"/>
      <c r="O122" s="3"/>
      <c r="P122" s="3"/>
      <c r="Q122" s="10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7"/>
      <c r="G123" s="7"/>
      <c r="H123" s="3"/>
      <c r="I123" s="3"/>
      <c r="J123" s="7"/>
      <c r="K123" s="7"/>
      <c r="L123" s="3"/>
      <c r="M123" s="10"/>
      <c r="N123" s="10"/>
      <c r="O123" s="3"/>
      <c r="P123" s="3"/>
      <c r="Q123" s="10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7"/>
      <c r="G124" s="7"/>
      <c r="H124" s="3"/>
      <c r="I124" s="3"/>
      <c r="J124" s="7"/>
      <c r="K124" s="3"/>
      <c r="L124" s="3"/>
      <c r="M124" s="10"/>
      <c r="N124" s="10"/>
      <c r="O124" s="3"/>
      <c r="P124" s="3"/>
      <c r="Q124" s="10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7"/>
      <c r="G125" s="7"/>
      <c r="H125" s="3"/>
      <c r="I125" s="3"/>
      <c r="J125" s="7"/>
      <c r="K125" s="3"/>
      <c r="L125" s="3"/>
      <c r="M125" s="10"/>
      <c r="N125" s="10"/>
      <c r="O125" s="10"/>
      <c r="P125" s="3"/>
      <c r="Q125" s="10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7"/>
      <c r="G126" s="7"/>
      <c r="H126" s="3"/>
      <c r="I126" s="3"/>
      <c r="J126" s="7"/>
      <c r="K126" s="3"/>
      <c r="L126" s="3"/>
      <c r="M126" s="10"/>
      <c r="N126" s="10"/>
      <c r="O126" s="10"/>
      <c r="P126" s="3"/>
      <c r="Q126" s="10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7"/>
      <c r="G127" s="7"/>
      <c r="H127" s="3"/>
      <c r="I127" s="3"/>
      <c r="J127" s="7"/>
      <c r="K127" s="3"/>
      <c r="L127" s="3"/>
      <c r="M127" s="10"/>
      <c r="N127" s="10"/>
      <c r="O127" s="10"/>
      <c r="P127" s="3"/>
      <c r="Q127" s="10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7"/>
      <c r="G128" s="7"/>
      <c r="H128" s="3"/>
      <c r="I128" s="3"/>
      <c r="J128" s="7"/>
      <c r="K128" s="3"/>
      <c r="L128" s="3"/>
      <c r="M128" s="10"/>
      <c r="N128" s="10"/>
      <c r="O128" s="10"/>
      <c r="P128" s="3"/>
      <c r="Q128" s="10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7"/>
      <c r="G129" s="7"/>
      <c r="H129" s="3"/>
      <c r="I129" s="3"/>
      <c r="J129" s="7"/>
      <c r="K129" s="3"/>
      <c r="L129" s="3"/>
      <c r="M129" s="10"/>
      <c r="N129" s="10"/>
      <c r="O129" s="3"/>
      <c r="P129" s="3"/>
      <c r="Q129" s="10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7"/>
      <c r="G130" s="7"/>
      <c r="H130" s="3"/>
      <c r="I130" s="3"/>
      <c r="J130" s="7"/>
      <c r="K130" s="3"/>
      <c r="L130" s="3"/>
      <c r="M130" s="10"/>
      <c r="N130" s="10"/>
      <c r="O130" s="10"/>
      <c r="P130" s="3"/>
      <c r="Q130" s="10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7"/>
      <c r="G131" s="7"/>
      <c r="H131" s="3"/>
      <c r="I131" s="3"/>
      <c r="J131" s="7"/>
      <c r="K131" s="3"/>
      <c r="L131" s="3"/>
      <c r="M131" s="10"/>
      <c r="N131" s="10"/>
      <c r="O131" s="10"/>
      <c r="P131" s="3"/>
      <c r="Q131" s="10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7"/>
      <c r="G132" s="7"/>
      <c r="H132" s="3"/>
      <c r="I132" s="3"/>
      <c r="J132" s="7"/>
      <c r="K132" s="3"/>
      <c r="L132" s="3"/>
      <c r="M132" s="10"/>
      <c r="N132" s="10"/>
      <c r="O132" s="3"/>
      <c r="P132" s="3"/>
      <c r="Q132" s="10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7"/>
      <c r="G133" s="7"/>
      <c r="H133" s="3"/>
      <c r="I133" s="3"/>
      <c r="J133" s="7"/>
      <c r="K133" s="3"/>
      <c r="L133" s="3"/>
      <c r="M133" s="10"/>
      <c r="N133" s="10"/>
      <c r="O133" s="10"/>
      <c r="P133" s="3"/>
      <c r="Q133" s="10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7"/>
      <c r="G134" s="7"/>
      <c r="H134" s="3"/>
      <c r="I134" s="3"/>
      <c r="J134" s="7"/>
      <c r="K134" s="3"/>
      <c r="L134" s="3"/>
      <c r="M134" s="10"/>
      <c r="N134" s="10"/>
      <c r="O134" s="10"/>
      <c r="P134" s="3"/>
      <c r="Q134" s="10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7"/>
      <c r="G135" s="7"/>
      <c r="H135" s="3"/>
      <c r="I135" s="3"/>
      <c r="J135" s="7"/>
      <c r="K135" s="3"/>
      <c r="L135" s="3"/>
      <c r="M135" s="10"/>
      <c r="N135" s="10"/>
      <c r="O135" s="3"/>
      <c r="P135" s="10"/>
      <c r="Q135" s="10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7"/>
      <c r="G136" s="7"/>
      <c r="H136" s="3"/>
      <c r="I136" s="3"/>
      <c r="J136" s="7"/>
      <c r="K136" s="3"/>
      <c r="L136" s="3"/>
      <c r="M136" s="10"/>
      <c r="N136" s="10"/>
      <c r="O136" s="3"/>
      <c r="P136" s="3"/>
      <c r="Q136" s="10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7"/>
      <c r="G137" s="7"/>
      <c r="H137" s="3"/>
      <c r="I137" s="3"/>
      <c r="J137" s="7"/>
      <c r="K137" s="3"/>
      <c r="L137" s="3"/>
      <c r="M137" s="10"/>
      <c r="N137" s="10"/>
      <c r="O137" s="10"/>
      <c r="P137" s="3"/>
      <c r="Q137" s="10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7"/>
      <c r="G138" s="7"/>
      <c r="H138" s="3"/>
      <c r="I138" s="3"/>
      <c r="J138" s="7"/>
      <c r="K138" s="7"/>
      <c r="L138" s="3"/>
      <c r="M138" s="10"/>
      <c r="N138" s="3"/>
      <c r="O138" s="3"/>
      <c r="P138" s="3"/>
      <c r="Q138" s="10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7"/>
      <c r="G139" s="7"/>
      <c r="H139" s="3"/>
      <c r="I139" s="3"/>
      <c r="J139" s="7"/>
      <c r="K139" s="7"/>
      <c r="L139" s="3"/>
      <c r="M139" s="10"/>
      <c r="N139" s="10"/>
      <c r="O139" s="3"/>
      <c r="P139" s="3"/>
      <c r="Q139" s="10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7"/>
      <c r="G140" s="7"/>
      <c r="H140" s="3"/>
      <c r="I140" s="3"/>
      <c r="J140" s="7"/>
      <c r="K140" s="3"/>
      <c r="L140" s="3"/>
      <c r="M140" s="10"/>
      <c r="N140" s="10"/>
      <c r="O140" s="10"/>
      <c r="P140" s="3"/>
      <c r="Q140" s="10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7"/>
      <c r="G141" s="7"/>
      <c r="H141" s="3"/>
      <c r="I141" s="3"/>
      <c r="J141" s="7"/>
      <c r="K141" s="7"/>
      <c r="L141" s="3"/>
      <c r="M141" s="10"/>
      <c r="N141" s="10"/>
      <c r="O141" s="10"/>
      <c r="P141" s="3"/>
      <c r="Q141" s="10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7"/>
      <c r="G142" s="7"/>
      <c r="H142" s="3"/>
      <c r="I142" s="3"/>
      <c r="J142" s="7"/>
      <c r="K142" s="3"/>
      <c r="L142" s="3"/>
      <c r="M142" s="10"/>
      <c r="N142" s="10"/>
      <c r="O142" s="3"/>
      <c r="P142" s="3"/>
      <c r="Q142" s="10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7"/>
      <c r="G143" s="7"/>
      <c r="H143" s="3"/>
      <c r="I143" s="3"/>
      <c r="J143" s="7"/>
      <c r="K143" s="3"/>
      <c r="L143" s="3"/>
      <c r="M143" s="10"/>
      <c r="N143" s="10"/>
      <c r="O143" s="10"/>
      <c r="P143" s="3"/>
      <c r="Q143" s="10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7"/>
      <c r="G144" s="7"/>
      <c r="H144" s="3"/>
      <c r="I144" s="3"/>
      <c r="J144" s="7"/>
      <c r="K144" s="3"/>
      <c r="L144" s="3"/>
      <c r="M144" s="10"/>
      <c r="N144" s="10"/>
      <c r="O144" s="10"/>
      <c r="P144" s="3"/>
      <c r="Q144" s="10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7"/>
      <c r="G145" s="7"/>
      <c r="H145" s="3"/>
      <c r="I145" s="3"/>
      <c r="J145" s="7"/>
      <c r="K145" s="3"/>
      <c r="L145" s="3"/>
      <c r="M145" s="10"/>
      <c r="N145" s="10"/>
      <c r="O145" s="10"/>
      <c r="P145" s="3"/>
      <c r="Q145" s="10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7"/>
      <c r="G146" s="7"/>
      <c r="H146" s="3"/>
      <c r="I146" s="3"/>
      <c r="J146" s="7"/>
      <c r="K146" s="3"/>
      <c r="L146" s="3"/>
      <c r="M146" s="10"/>
      <c r="N146" s="10"/>
      <c r="O146" s="10"/>
      <c r="P146" s="3"/>
      <c r="Q146" s="10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7"/>
      <c r="G147" s="7"/>
      <c r="H147" s="3"/>
      <c r="I147" s="3"/>
      <c r="J147" s="7"/>
      <c r="K147" s="3"/>
      <c r="L147" s="3"/>
      <c r="M147" s="10"/>
      <c r="N147" s="10"/>
      <c r="O147" s="3"/>
      <c r="P147" s="3"/>
      <c r="Q147" s="10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7"/>
      <c r="G148" s="7"/>
      <c r="H148" s="3"/>
      <c r="I148" s="3"/>
      <c r="J148" s="7"/>
      <c r="K148" s="7"/>
      <c r="L148" s="3"/>
      <c r="M148" s="10"/>
      <c r="N148" s="10"/>
      <c r="O148" s="10"/>
      <c r="P148" s="3"/>
      <c r="Q148" s="10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7"/>
      <c r="G149" s="7"/>
      <c r="H149" s="3"/>
      <c r="I149" s="3"/>
      <c r="J149" s="7"/>
      <c r="K149" s="3"/>
      <c r="L149" s="3"/>
      <c r="M149" s="10"/>
      <c r="N149" s="10"/>
      <c r="O149" s="3"/>
      <c r="P149" s="3"/>
      <c r="Q149" s="10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7"/>
      <c r="G150" s="7"/>
      <c r="H150" s="3"/>
      <c r="I150" s="3"/>
      <c r="J150" s="7"/>
      <c r="K150" s="7"/>
      <c r="L150" s="3"/>
      <c r="M150" s="10"/>
      <c r="N150" s="10"/>
      <c r="O150" s="10"/>
      <c r="P150" s="3"/>
      <c r="Q150" s="10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7"/>
      <c r="G151" s="7"/>
      <c r="H151" s="3"/>
      <c r="I151" s="3"/>
      <c r="J151" s="7"/>
      <c r="K151" s="3"/>
      <c r="L151" s="3"/>
      <c r="M151" s="10"/>
      <c r="N151" s="10"/>
      <c r="O151" s="3"/>
      <c r="P151" s="3"/>
      <c r="Q151" s="10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7"/>
      <c r="G152" s="7"/>
      <c r="H152" s="3"/>
      <c r="I152" s="3"/>
      <c r="J152" s="7"/>
      <c r="K152" s="3"/>
      <c r="L152" s="3"/>
      <c r="M152" s="10"/>
      <c r="N152" s="10"/>
      <c r="O152" s="10"/>
      <c r="P152" s="3"/>
      <c r="Q152" s="10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7"/>
      <c r="G153" s="7"/>
      <c r="H153" s="3"/>
      <c r="I153" s="3"/>
      <c r="J153" s="7"/>
      <c r="K153" s="3"/>
      <c r="L153" s="3"/>
      <c r="M153" s="10"/>
      <c r="N153" s="10"/>
      <c r="O153" s="3"/>
      <c r="P153" s="3"/>
      <c r="Q153" s="10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7"/>
      <c r="G154" s="7"/>
      <c r="H154" s="3"/>
      <c r="I154" s="3"/>
      <c r="J154" s="7"/>
      <c r="K154" s="3"/>
      <c r="L154" s="3"/>
      <c r="M154" s="10"/>
      <c r="N154" s="10"/>
      <c r="O154" s="10"/>
      <c r="P154" s="3"/>
      <c r="Q154" s="10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7"/>
      <c r="G155" s="7"/>
      <c r="H155" s="3"/>
      <c r="I155" s="3"/>
      <c r="J155" s="7"/>
      <c r="K155" s="3"/>
      <c r="L155" s="3"/>
      <c r="M155" s="10"/>
      <c r="N155" s="10"/>
      <c r="O155" s="3"/>
      <c r="P155" s="3"/>
      <c r="Q155" s="10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7"/>
      <c r="G156" s="7"/>
      <c r="H156" s="3"/>
      <c r="I156" s="3"/>
      <c r="J156" s="7"/>
      <c r="K156" s="3"/>
      <c r="L156" s="3"/>
      <c r="M156" s="10"/>
      <c r="N156" s="10"/>
      <c r="O156" s="10"/>
      <c r="P156" s="3"/>
      <c r="Q156" s="10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7"/>
      <c r="G157" s="7"/>
      <c r="H157" s="3"/>
      <c r="I157" s="3"/>
      <c r="J157" s="7"/>
      <c r="K157" s="7"/>
      <c r="L157" s="3"/>
      <c r="M157" s="10"/>
      <c r="N157" s="10"/>
      <c r="O157" s="3"/>
      <c r="P157" s="3"/>
      <c r="Q157" s="10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7"/>
      <c r="G158" s="7"/>
      <c r="H158" s="3"/>
      <c r="I158" s="3"/>
      <c r="J158" s="7"/>
      <c r="K158" s="3"/>
      <c r="L158" s="3"/>
      <c r="M158" s="10"/>
      <c r="N158" s="10"/>
      <c r="O158" s="3"/>
      <c r="P158" s="3"/>
      <c r="Q158" s="10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7"/>
      <c r="G159" s="7"/>
      <c r="H159" s="3"/>
      <c r="I159" s="3"/>
      <c r="J159" s="7"/>
      <c r="K159" s="3"/>
      <c r="L159" s="3"/>
      <c r="M159" s="10"/>
      <c r="N159" s="10"/>
      <c r="O159" s="3"/>
      <c r="P159" s="3"/>
      <c r="Q159" s="10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7"/>
      <c r="G160" s="7"/>
      <c r="H160" s="3"/>
      <c r="I160" s="3"/>
      <c r="J160" s="7"/>
      <c r="K160" s="3"/>
      <c r="L160" s="3"/>
      <c r="M160" s="10"/>
      <c r="N160" s="10"/>
      <c r="O160" s="3"/>
      <c r="P160" s="3"/>
      <c r="Q160" s="10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7"/>
      <c r="G161" s="7"/>
      <c r="H161" s="3"/>
      <c r="I161" s="3"/>
      <c r="J161" s="7"/>
      <c r="K161" s="3"/>
      <c r="L161" s="3"/>
      <c r="M161" s="10"/>
      <c r="N161" s="10"/>
      <c r="O161" s="3"/>
      <c r="P161" s="3"/>
      <c r="Q161" s="10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7"/>
      <c r="G162" s="7"/>
      <c r="H162" s="3"/>
      <c r="I162" s="3"/>
      <c r="J162" s="7"/>
      <c r="K162" s="3"/>
      <c r="L162" s="3"/>
      <c r="M162" s="10"/>
      <c r="N162" s="10"/>
      <c r="O162" s="10"/>
      <c r="P162" s="3"/>
      <c r="Q162" s="10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7"/>
      <c r="G163" s="7"/>
      <c r="H163" s="3"/>
      <c r="I163" s="3"/>
      <c r="J163" s="7"/>
      <c r="K163" s="3"/>
      <c r="L163" s="3"/>
      <c r="M163" s="10"/>
      <c r="N163" s="10"/>
      <c r="O163" s="3"/>
      <c r="P163" s="3"/>
      <c r="Q163" s="10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7"/>
      <c r="G164" s="7"/>
      <c r="H164" s="3"/>
      <c r="I164" s="3"/>
      <c r="J164" s="7"/>
      <c r="K164" s="3"/>
      <c r="L164" s="3"/>
      <c r="M164" s="10"/>
      <c r="N164" s="10"/>
      <c r="O164" s="10"/>
      <c r="P164" s="3"/>
      <c r="Q164" s="10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7"/>
      <c r="G165" s="7"/>
      <c r="H165" s="3"/>
      <c r="I165" s="3"/>
      <c r="J165" s="7"/>
      <c r="K165" s="3"/>
      <c r="L165" s="3"/>
      <c r="M165" s="10"/>
      <c r="N165" s="10"/>
      <c r="O165" s="3"/>
      <c r="P165" s="3"/>
      <c r="Q165" s="10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7"/>
      <c r="G166" s="7"/>
      <c r="H166" s="3"/>
      <c r="I166" s="3"/>
      <c r="J166" s="7"/>
      <c r="K166" s="3"/>
      <c r="L166" s="3"/>
      <c r="M166" s="10"/>
      <c r="N166" s="10"/>
      <c r="O166" s="10"/>
      <c r="P166" s="3"/>
      <c r="Q166" s="10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7"/>
      <c r="G167" s="7"/>
      <c r="H167" s="3"/>
      <c r="I167" s="3"/>
      <c r="J167" s="7"/>
      <c r="K167" s="3"/>
      <c r="L167" s="3"/>
      <c r="M167" s="10"/>
      <c r="N167" s="10"/>
      <c r="O167" s="10"/>
      <c r="P167" s="3"/>
      <c r="Q167" s="10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7"/>
      <c r="G168" s="7"/>
      <c r="H168" s="3"/>
      <c r="I168" s="3"/>
      <c r="J168" s="7"/>
      <c r="K168" s="7"/>
      <c r="L168" s="3"/>
      <c r="M168" s="10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7"/>
      <c r="G169" s="7"/>
      <c r="H169" s="3"/>
      <c r="I169" s="3"/>
      <c r="J169" s="7"/>
      <c r="K169" s="3"/>
      <c r="L169" s="3"/>
      <c r="M169" s="10"/>
      <c r="N169" s="10"/>
      <c r="O169" s="3"/>
      <c r="P169" s="3"/>
      <c r="Q169" s="10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7"/>
      <c r="G170" s="7"/>
      <c r="H170" s="3"/>
      <c r="I170" s="3"/>
      <c r="J170" s="7"/>
      <c r="K170" s="3"/>
      <c r="L170" s="3"/>
      <c r="M170" s="10"/>
      <c r="N170" s="10"/>
      <c r="O170" s="3"/>
      <c r="P170" s="3"/>
      <c r="Q170" s="10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7"/>
      <c r="G171" s="7"/>
      <c r="H171" s="3"/>
      <c r="I171" s="3"/>
      <c r="J171" s="7"/>
      <c r="K171" s="3"/>
      <c r="L171" s="3"/>
      <c r="M171" s="10"/>
      <c r="N171" s="10"/>
      <c r="O171" s="10"/>
      <c r="P171" s="3"/>
      <c r="Q171" s="10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7"/>
      <c r="G172" s="7"/>
      <c r="H172" s="3"/>
      <c r="I172" s="3"/>
      <c r="J172" s="7"/>
      <c r="K172" s="3"/>
      <c r="L172" s="3"/>
      <c r="M172" s="10"/>
      <c r="N172" s="10"/>
      <c r="O172" s="10"/>
      <c r="P172" s="3"/>
      <c r="Q172" s="10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7"/>
      <c r="G173" s="7"/>
      <c r="H173" s="3"/>
      <c r="I173" s="3"/>
      <c r="J173" s="7"/>
      <c r="K173" s="3"/>
      <c r="L173" s="3"/>
      <c r="M173" s="10"/>
      <c r="N173" s="10"/>
      <c r="O173" s="10"/>
      <c r="P173" s="3"/>
      <c r="Q173" s="10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7"/>
      <c r="G174" s="7"/>
      <c r="H174" s="3"/>
      <c r="I174" s="3"/>
      <c r="J174" s="7"/>
      <c r="K174" s="7"/>
      <c r="L174" s="3"/>
      <c r="M174" s="10"/>
      <c r="N174" s="10"/>
      <c r="O174" s="3"/>
      <c r="P174" s="3"/>
      <c r="Q174" s="10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7"/>
      <c r="G175" s="7"/>
      <c r="H175" s="3"/>
      <c r="I175" s="3"/>
      <c r="J175" s="7"/>
      <c r="K175" s="3"/>
      <c r="L175" s="3"/>
      <c r="M175" s="10"/>
      <c r="N175" s="10"/>
      <c r="O175" s="10"/>
      <c r="P175" s="3"/>
      <c r="Q175" s="10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7"/>
      <c r="G176" s="7"/>
      <c r="H176" s="3"/>
      <c r="I176" s="3"/>
      <c r="J176" s="7"/>
      <c r="K176" s="3"/>
      <c r="L176" s="3"/>
      <c r="M176" s="10"/>
      <c r="N176" s="10"/>
      <c r="O176" s="3"/>
      <c r="P176" s="3"/>
      <c r="Q176" s="10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7"/>
      <c r="G177" s="7"/>
      <c r="H177" s="3"/>
      <c r="I177" s="3"/>
      <c r="J177" s="7"/>
      <c r="K177" s="7"/>
      <c r="L177" s="3"/>
      <c r="M177" s="10"/>
      <c r="N177" s="10"/>
      <c r="O177" s="3"/>
      <c r="P177" s="3"/>
      <c r="Q177" s="10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7"/>
      <c r="G178" s="7"/>
      <c r="H178" s="3"/>
      <c r="I178" s="3"/>
      <c r="J178" s="7"/>
      <c r="K178" s="3"/>
      <c r="L178" s="3"/>
      <c r="M178" s="10"/>
      <c r="N178" s="10"/>
      <c r="O178" s="3"/>
      <c r="P178" s="3"/>
      <c r="Q178" s="10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7"/>
      <c r="G179" s="7"/>
      <c r="H179" s="3"/>
      <c r="I179" s="3"/>
      <c r="J179" s="7"/>
      <c r="K179" s="7"/>
      <c r="L179" s="3"/>
      <c r="M179" s="10"/>
      <c r="N179" s="10"/>
      <c r="O179" s="3"/>
      <c r="P179" s="3"/>
      <c r="Q179" s="10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7"/>
      <c r="G180" s="7"/>
      <c r="H180" s="3"/>
      <c r="I180" s="3"/>
      <c r="J180" s="7"/>
      <c r="K180" s="3"/>
      <c r="L180" s="3"/>
      <c r="M180" s="10"/>
      <c r="N180" s="10"/>
      <c r="O180" s="3"/>
      <c r="P180" s="3"/>
      <c r="Q180" s="10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7"/>
      <c r="G181" s="7"/>
      <c r="H181" s="3"/>
      <c r="I181" s="3"/>
      <c r="J181" s="7"/>
      <c r="K181" s="3"/>
      <c r="L181" s="3"/>
      <c r="M181" s="10"/>
      <c r="N181" s="10"/>
      <c r="O181" s="10"/>
      <c r="P181" s="3"/>
      <c r="Q181" s="10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7"/>
      <c r="G182" s="7"/>
      <c r="H182" s="3"/>
      <c r="I182" s="3"/>
      <c r="J182" s="7"/>
      <c r="K182" s="3"/>
      <c r="L182" s="3"/>
      <c r="M182" s="10"/>
      <c r="N182" s="10"/>
      <c r="O182" s="3"/>
      <c r="P182" s="3"/>
      <c r="Q182" s="10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7"/>
      <c r="G183" s="7"/>
      <c r="H183" s="3"/>
      <c r="I183" s="3"/>
      <c r="J183" s="7"/>
      <c r="K183" s="3"/>
      <c r="L183" s="3"/>
      <c r="M183" s="10"/>
      <c r="N183" s="10"/>
      <c r="O183" s="3"/>
      <c r="P183" s="3"/>
      <c r="Q183" s="10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7"/>
      <c r="G184" s="7"/>
      <c r="H184" s="3"/>
      <c r="I184" s="3"/>
      <c r="J184" s="7"/>
      <c r="K184" s="3"/>
      <c r="L184" s="3"/>
      <c r="M184" s="10"/>
      <c r="N184" s="10"/>
      <c r="O184" s="10"/>
      <c r="P184" s="3"/>
      <c r="Q184" s="10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7"/>
      <c r="G185" s="7"/>
      <c r="H185" s="3"/>
      <c r="I185" s="3"/>
      <c r="J185" s="7"/>
      <c r="K185" s="3"/>
      <c r="L185" s="3"/>
      <c r="M185" s="10"/>
      <c r="N185" s="10"/>
      <c r="O185" s="3"/>
      <c r="P185" s="3"/>
      <c r="Q185" s="10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7"/>
      <c r="G186" s="7"/>
      <c r="H186" s="3"/>
      <c r="I186" s="3"/>
      <c r="J186" s="7"/>
      <c r="K186" s="7"/>
      <c r="L186" s="3"/>
      <c r="M186" s="10"/>
      <c r="N186" s="10"/>
      <c r="O186" s="3"/>
      <c r="P186" s="3"/>
      <c r="Q186" s="10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7"/>
      <c r="G187" s="7"/>
      <c r="H187" s="3"/>
      <c r="I187" s="3"/>
      <c r="J187" s="7"/>
      <c r="K187" s="7"/>
      <c r="L187" s="3"/>
      <c r="M187" s="10"/>
      <c r="N187" s="10"/>
      <c r="O187" s="10"/>
      <c r="P187" s="3"/>
      <c r="Q187" s="10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7"/>
      <c r="G188" s="7"/>
      <c r="H188" s="3"/>
      <c r="I188" s="3"/>
      <c r="J188" s="7"/>
      <c r="K188" s="7"/>
      <c r="L188" s="3"/>
      <c r="M188" s="10"/>
      <c r="N188" s="10"/>
      <c r="O188" s="3"/>
      <c r="P188" s="3"/>
      <c r="Q188" s="10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7"/>
      <c r="G189" s="7"/>
      <c r="H189" s="3"/>
      <c r="I189" s="3"/>
      <c r="J189" s="7"/>
      <c r="K189" s="7"/>
      <c r="L189" s="3"/>
      <c r="M189" s="10"/>
      <c r="N189" s="10"/>
      <c r="O189" s="3"/>
      <c r="P189" s="3"/>
      <c r="Q189" s="10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7"/>
      <c r="G190" s="7"/>
      <c r="H190" s="3"/>
      <c r="I190" s="3"/>
      <c r="J190" s="7"/>
      <c r="K190" s="3"/>
      <c r="L190" s="3"/>
      <c r="M190" s="10"/>
      <c r="N190" s="10"/>
      <c r="O190" s="10"/>
      <c r="P190" s="3"/>
      <c r="Q190" s="10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7"/>
      <c r="G191" s="7"/>
      <c r="H191" s="3"/>
      <c r="I191" s="3"/>
      <c r="J191" s="7"/>
      <c r="K191" s="3"/>
      <c r="L191" s="3"/>
      <c r="M191" s="10"/>
      <c r="N191" s="10"/>
      <c r="O191" s="10"/>
      <c r="P191" s="3"/>
      <c r="Q191" s="10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7"/>
      <c r="G192" s="7"/>
      <c r="H192" s="3"/>
      <c r="I192" s="3"/>
      <c r="J192" s="7"/>
      <c r="K192" s="3"/>
      <c r="L192" s="3"/>
      <c r="M192" s="10"/>
      <c r="N192" s="10"/>
      <c r="O192" s="10"/>
      <c r="P192" s="3"/>
      <c r="Q192" s="10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7"/>
      <c r="G193" s="7"/>
      <c r="H193" s="3"/>
      <c r="I193" s="3"/>
      <c r="J193" s="7"/>
      <c r="K193" s="3"/>
      <c r="L193" s="3"/>
      <c r="M193" s="10"/>
      <c r="N193" s="10"/>
      <c r="O193" s="10"/>
      <c r="P193" s="3"/>
      <c r="Q193" s="10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7"/>
      <c r="G194" s="7"/>
      <c r="H194" s="3"/>
      <c r="I194" s="3"/>
      <c r="J194" s="7"/>
      <c r="K194" s="3"/>
      <c r="L194" s="3"/>
      <c r="M194" s="10"/>
      <c r="N194" s="10"/>
      <c r="O194" s="3"/>
      <c r="P194" s="3"/>
      <c r="Q194" s="10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7"/>
      <c r="G195" s="7"/>
      <c r="H195" s="3"/>
      <c r="I195" s="3"/>
      <c r="J195" s="7"/>
      <c r="K195" s="7"/>
      <c r="L195" s="3"/>
      <c r="M195" s="10"/>
      <c r="N195" s="10"/>
      <c r="O195" s="3"/>
      <c r="P195" s="3"/>
      <c r="Q195" s="10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7"/>
      <c r="G196" s="7"/>
      <c r="H196" s="3"/>
      <c r="I196" s="3"/>
      <c r="J196" s="7"/>
      <c r="K196" s="3"/>
      <c r="L196" s="3"/>
      <c r="M196" s="10"/>
      <c r="N196" s="10"/>
      <c r="O196" s="10"/>
      <c r="P196" s="3"/>
      <c r="Q196" s="10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7"/>
      <c r="G197" s="7"/>
      <c r="H197" s="3"/>
      <c r="I197" s="3"/>
      <c r="J197" s="7"/>
      <c r="K197" s="7"/>
      <c r="L197" s="3"/>
      <c r="M197" s="10"/>
      <c r="N197" s="10"/>
      <c r="O197" s="10"/>
      <c r="P197" s="3"/>
      <c r="Q197" s="10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7"/>
      <c r="G198" s="7"/>
      <c r="H198" s="3"/>
      <c r="I198" s="3"/>
      <c r="J198" s="7"/>
      <c r="K198" s="3"/>
      <c r="L198" s="3"/>
      <c r="M198" s="10"/>
      <c r="N198" s="10"/>
      <c r="O198" s="3"/>
      <c r="P198" s="3"/>
      <c r="Q198" s="10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7"/>
      <c r="G199" s="7"/>
      <c r="H199" s="3"/>
      <c r="I199" s="3"/>
      <c r="J199" s="7"/>
      <c r="K199" s="3"/>
      <c r="L199" s="3"/>
      <c r="M199" s="10"/>
      <c r="N199" s="10"/>
      <c r="O199" s="3"/>
      <c r="P199" s="3"/>
      <c r="Q199" s="10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7"/>
      <c r="G200" s="7"/>
      <c r="H200" s="3"/>
      <c r="I200" s="3"/>
      <c r="J200" s="7"/>
      <c r="K200" s="3"/>
      <c r="L200" s="3"/>
      <c r="M200" s="10"/>
      <c r="N200" s="10"/>
      <c r="O200" s="3"/>
      <c r="P200" s="3"/>
      <c r="Q200" s="10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7"/>
      <c r="G201" s="7"/>
      <c r="H201" s="3"/>
      <c r="I201" s="3"/>
      <c r="J201" s="7"/>
      <c r="K201" s="3"/>
      <c r="L201" s="3"/>
      <c r="M201" s="10"/>
      <c r="N201" s="10"/>
      <c r="O201" s="3"/>
      <c r="P201" s="3"/>
      <c r="Q201" s="10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7"/>
      <c r="G202" s="7"/>
      <c r="H202" s="3"/>
      <c r="I202" s="3"/>
      <c r="J202" s="7"/>
      <c r="K202" s="3"/>
      <c r="L202" s="3"/>
      <c r="M202" s="10"/>
      <c r="N202" s="10"/>
      <c r="O202" s="10"/>
      <c r="P202" s="3"/>
      <c r="Q202" s="10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7"/>
      <c r="G203" s="7"/>
      <c r="H203" s="3"/>
      <c r="I203" s="3"/>
      <c r="J203" s="7"/>
      <c r="K203" s="3"/>
      <c r="L203" s="3"/>
      <c r="M203" s="10"/>
      <c r="N203" s="10"/>
      <c r="O203" s="3"/>
      <c r="P203" s="3"/>
      <c r="Q203" s="10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7"/>
      <c r="G204" s="7"/>
      <c r="H204" s="3"/>
      <c r="I204" s="3"/>
      <c r="J204" s="7"/>
      <c r="K204" s="3"/>
      <c r="L204" s="3"/>
      <c r="M204" s="10"/>
      <c r="N204" s="10"/>
      <c r="O204" s="3"/>
      <c r="P204" s="3"/>
      <c r="Q204" s="10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7"/>
      <c r="G205" s="7"/>
      <c r="H205" s="3"/>
      <c r="I205" s="3"/>
      <c r="J205" s="7"/>
      <c r="K205" s="7"/>
      <c r="L205" s="3"/>
      <c r="M205" s="10"/>
      <c r="N205" s="10"/>
      <c r="O205" s="3"/>
      <c r="P205" s="3"/>
      <c r="Q205" s="10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7"/>
      <c r="G206" s="7"/>
      <c r="H206" s="3"/>
      <c r="I206" s="3"/>
      <c r="J206" s="7"/>
      <c r="K206" s="3"/>
      <c r="L206" s="3"/>
      <c r="M206" s="10"/>
      <c r="N206" s="10"/>
      <c r="O206" s="3"/>
      <c r="P206" s="3"/>
      <c r="Q206" s="10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7"/>
      <c r="G207" s="7"/>
      <c r="H207" s="3"/>
      <c r="I207" s="3"/>
      <c r="J207" s="7"/>
      <c r="K207" s="3"/>
      <c r="L207" s="3"/>
      <c r="M207" s="10"/>
      <c r="N207" s="10"/>
      <c r="O207" s="3"/>
      <c r="P207" s="3"/>
      <c r="Q207" s="10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7"/>
      <c r="G208" s="7"/>
      <c r="H208" s="3"/>
      <c r="I208" s="3"/>
      <c r="J208" s="7"/>
      <c r="K208" s="3"/>
      <c r="L208" s="3"/>
      <c r="M208" s="10"/>
      <c r="N208" s="10"/>
      <c r="O208" s="3"/>
      <c r="P208" s="3"/>
      <c r="Q208" s="10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7"/>
      <c r="G209" s="7"/>
      <c r="H209" s="3"/>
      <c r="I209" s="3"/>
      <c r="J209" s="7"/>
      <c r="K209" s="3"/>
      <c r="L209" s="3"/>
      <c r="M209" s="10"/>
      <c r="N209" s="10"/>
      <c r="O209" s="3"/>
      <c r="P209" s="3"/>
      <c r="Q209" s="10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7"/>
      <c r="G210" s="7"/>
      <c r="H210" s="3"/>
      <c r="I210" s="3"/>
      <c r="J210" s="7"/>
      <c r="K210" s="3"/>
      <c r="L210" s="3"/>
      <c r="M210" s="10"/>
      <c r="N210" s="10"/>
      <c r="O210" s="10"/>
      <c r="P210" s="3"/>
      <c r="Q210" s="10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7"/>
      <c r="G211" s="7"/>
      <c r="H211" s="3"/>
      <c r="I211" s="3"/>
      <c r="J211" s="7"/>
      <c r="K211" s="3"/>
      <c r="L211" s="3"/>
      <c r="M211" s="10"/>
      <c r="N211" s="10"/>
      <c r="O211" s="10"/>
      <c r="P211" s="3"/>
      <c r="Q211" s="10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7"/>
      <c r="G212" s="7"/>
      <c r="H212" s="3"/>
      <c r="I212" s="3"/>
      <c r="J212" s="7"/>
      <c r="K212" s="3"/>
      <c r="L212" s="3"/>
      <c r="M212" s="10"/>
      <c r="N212" s="10"/>
      <c r="O212" s="3"/>
      <c r="P212" s="3"/>
      <c r="Q212" s="10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7"/>
      <c r="G213" s="7"/>
      <c r="H213" s="3"/>
      <c r="I213" s="3"/>
      <c r="J213" s="7"/>
      <c r="K213" s="3"/>
      <c r="L213" s="3"/>
      <c r="M213" s="10"/>
      <c r="N213" s="10"/>
      <c r="O213" s="3"/>
      <c r="P213" s="3"/>
      <c r="Q213" s="10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7"/>
      <c r="G214" s="7"/>
      <c r="H214" s="3"/>
      <c r="I214" s="3"/>
      <c r="J214" s="7"/>
      <c r="K214" s="3"/>
      <c r="L214" s="3"/>
      <c r="M214" s="10"/>
      <c r="N214" s="10"/>
      <c r="O214" s="3"/>
      <c r="P214" s="3"/>
      <c r="Q214" s="10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7"/>
      <c r="G215" s="7"/>
      <c r="H215" s="3"/>
      <c r="I215" s="3"/>
      <c r="J215" s="7"/>
      <c r="K215" s="3"/>
      <c r="L215" s="3"/>
      <c r="M215" s="10"/>
      <c r="N215" s="10"/>
      <c r="O215" s="3"/>
      <c r="P215" s="3"/>
      <c r="Q215" s="10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7"/>
      <c r="G216" s="7"/>
      <c r="H216" s="3"/>
      <c r="I216" s="3"/>
      <c r="J216" s="7"/>
      <c r="K216" s="3"/>
      <c r="L216" s="3"/>
      <c r="M216" s="10"/>
      <c r="N216" s="10"/>
      <c r="O216" s="10"/>
      <c r="P216" s="3"/>
      <c r="Q216" s="10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7"/>
      <c r="G217" s="7"/>
      <c r="H217" s="3"/>
      <c r="I217" s="3"/>
      <c r="J217" s="7"/>
      <c r="K217" s="3"/>
      <c r="L217" s="3"/>
      <c r="M217" s="10"/>
      <c r="N217" s="10"/>
      <c r="O217" s="3"/>
      <c r="P217" s="3"/>
      <c r="Q217" s="10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7"/>
      <c r="G218" s="7"/>
      <c r="H218" s="3"/>
      <c r="I218" s="3"/>
      <c r="J218" s="7"/>
      <c r="K218" s="3"/>
      <c r="L218" s="3"/>
      <c r="M218" s="10"/>
      <c r="N218" s="10"/>
      <c r="O218" s="10"/>
      <c r="P218" s="3"/>
      <c r="Q218" s="10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7"/>
      <c r="G219" s="7"/>
      <c r="H219" s="3"/>
      <c r="I219" s="3"/>
      <c r="J219" s="7"/>
      <c r="K219" s="3"/>
      <c r="L219" s="3"/>
      <c r="M219" s="10"/>
      <c r="N219" s="10"/>
      <c r="O219" s="3"/>
      <c r="P219" s="3"/>
      <c r="Q219" s="10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7"/>
      <c r="G220" s="7"/>
      <c r="H220" s="3"/>
      <c r="I220" s="3"/>
      <c r="J220" s="7"/>
      <c r="K220" s="3"/>
      <c r="L220" s="3"/>
      <c r="M220" s="10"/>
      <c r="N220" s="10"/>
      <c r="O220" s="10"/>
      <c r="P220" s="3"/>
      <c r="Q220" s="10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7"/>
      <c r="G221" s="7"/>
      <c r="H221" s="3"/>
      <c r="I221" s="3"/>
      <c r="J221" s="7"/>
      <c r="K221" s="3"/>
      <c r="L221" s="3"/>
      <c r="M221" s="10"/>
      <c r="N221" s="10"/>
      <c r="O221" s="10"/>
      <c r="P221" s="3"/>
      <c r="Q221" s="10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7"/>
      <c r="G222" s="7"/>
      <c r="H222" s="3"/>
      <c r="I222" s="3"/>
      <c r="J222" s="7"/>
      <c r="K222" s="7"/>
      <c r="L222" s="3"/>
      <c r="M222" s="10"/>
      <c r="N222" s="10"/>
      <c r="O222" s="10"/>
      <c r="P222" s="3"/>
      <c r="Q222" s="10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7"/>
      <c r="G223" s="7"/>
      <c r="H223" s="3"/>
      <c r="I223" s="3"/>
      <c r="J223" s="7"/>
      <c r="K223" s="3"/>
      <c r="L223" s="3"/>
      <c r="M223" s="10"/>
      <c r="N223" s="10"/>
      <c r="O223" s="3"/>
      <c r="P223" s="3"/>
      <c r="Q223" s="10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7"/>
      <c r="G224" s="7"/>
      <c r="H224" s="3"/>
      <c r="I224" s="3"/>
      <c r="J224" s="7"/>
      <c r="K224" s="3"/>
      <c r="L224" s="3"/>
      <c r="M224" s="10"/>
      <c r="N224" s="10"/>
      <c r="O224" s="3"/>
      <c r="P224" s="3"/>
      <c r="Q224" s="10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7"/>
      <c r="G225" s="7"/>
      <c r="H225" s="3"/>
      <c r="I225" s="3"/>
      <c r="J225" s="7"/>
      <c r="K225" s="3"/>
      <c r="L225" s="3"/>
      <c r="M225" s="10"/>
      <c r="N225" s="10"/>
      <c r="O225" s="10"/>
      <c r="P225" s="3"/>
      <c r="Q225" s="10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7"/>
      <c r="G226" s="7"/>
      <c r="H226" s="3"/>
      <c r="I226" s="3"/>
      <c r="J226" s="7"/>
      <c r="K226" s="7"/>
      <c r="L226" s="3"/>
      <c r="M226" s="10"/>
      <c r="N226" s="10"/>
      <c r="O226" s="3"/>
      <c r="P226" s="3"/>
      <c r="Q226" s="10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7"/>
      <c r="G227" s="7"/>
      <c r="H227" s="3"/>
      <c r="I227" s="3"/>
      <c r="J227" s="7"/>
      <c r="K227" s="3"/>
      <c r="L227" s="3"/>
      <c r="M227" s="10"/>
      <c r="N227" s="10"/>
      <c r="O227" s="3"/>
      <c r="P227" s="3"/>
      <c r="Q227" s="10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7"/>
      <c r="G228" s="7"/>
      <c r="H228" s="3"/>
      <c r="I228" s="3"/>
      <c r="J228" s="7"/>
      <c r="K228" s="3"/>
      <c r="L228" s="3"/>
      <c r="M228" s="10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7"/>
      <c r="G229" s="7"/>
      <c r="H229" s="3"/>
      <c r="I229" s="3"/>
      <c r="J229" s="7"/>
      <c r="K229" s="3"/>
      <c r="L229" s="3"/>
      <c r="M229" s="10"/>
      <c r="N229" s="10"/>
      <c r="O229" s="10"/>
      <c r="P229" s="3"/>
      <c r="Q229" s="10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7"/>
      <c r="G230" s="7"/>
      <c r="H230" s="3"/>
      <c r="I230" s="3"/>
      <c r="J230" s="7"/>
      <c r="K230" s="3"/>
      <c r="L230" s="3"/>
      <c r="M230" s="10"/>
      <c r="N230" s="10"/>
      <c r="O230" s="10"/>
      <c r="P230" s="3"/>
      <c r="Q230" s="10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7"/>
      <c r="G231" s="7"/>
      <c r="H231" s="3"/>
      <c r="I231" s="3"/>
      <c r="J231" s="7"/>
      <c r="K231" s="7"/>
      <c r="L231" s="3"/>
      <c r="M231" s="10"/>
      <c r="N231" s="10"/>
      <c r="O231" s="3"/>
      <c r="P231" s="3"/>
      <c r="Q231" s="10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7"/>
      <c r="G232" s="7"/>
      <c r="H232" s="3"/>
      <c r="I232" s="3"/>
      <c r="J232" s="7"/>
      <c r="K232" s="3"/>
      <c r="L232" s="3"/>
      <c r="M232" s="10"/>
      <c r="N232" s="10"/>
      <c r="O232" s="3"/>
      <c r="P232" s="3"/>
      <c r="Q232" s="10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7"/>
      <c r="G233" s="7"/>
      <c r="H233" s="3"/>
      <c r="I233" s="3"/>
      <c r="J233" s="7"/>
      <c r="K233" s="3"/>
      <c r="L233" s="3"/>
      <c r="M233" s="10"/>
      <c r="N233" s="10"/>
      <c r="O233" s="10"/>
      <c r="P233" s="3"/>
      <c r="Q233" s="10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7"/>
      <c r="G234" s="7"/>
      <c r="H234" s="3"/>
      <c r="I234" s="3"/>
      <c r="J234" s="7"/>
      <c r="K234" s="3"/>
      <c r="L234" s="3"/>
      <c r="M234" s="10"/>
      <c r="N234" s="10"/>
      <c r="O234" s="10"/>
      <c r="P234" s="3"/>
      <c r="Q234" s="10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7"/>
      <c r="G235" s="7"/>
      <c r="H235" s="3"/>
      <c r="I235" s="3"/>
      <c r="J235" s="7"/>
      <c r="K235" s="3"/>
      <c r="L235" s="3"/>
      <c r="M235" s="10"/>
      <c r="N235" s="10"/>
      <c r="O235" s="3"/>
      <c r="P235" s="3"/>
      <c r="Q235" s="10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7"/>
      <c r="G236" s="7"/>
      <c r="H236" s="3"/>
      <c r="I236" s="3"/>
      <c r="J236" s="7"/>
      <c r="K236" s="3"/>
      <c r="L236" s="3"/>
      <c r="M236" s="10"/>
      <c r="N236" s="10"/>
      <c r="O236" s="3"/>
      <c r="P236" s="3"/>
      <c r="Q236" s="10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7"/>
      <c r="G237" s="7"/>
      <c r="H237" s="3"/>
      <c r="I237" s="3"/>
      <c r="J237" s="7"/>
      <c r="K237" s="3"/>
      <c r="L237" s="3"/>
      <c r="M237" s="10"/>
      <c r="N237" s="10"/>
      <c r="O237" s="10"/>
      <c r="P237" s="3"/>
      <c r="Q237" s="10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7"/>
      <c r="G238" s="7"/>
      <c r="H238" s="3"/>
      <c r="I238" s="3"/>
      <c r="J238" s="7"/>
      <c r="K238" s="3"/>
      <c r="L238" s="3"/>
      <c r="M238" s="10"/>
      <c r="N238" s="10"/>
      <c r="O238" s="3"/>
      <c r="P238" s="3"/>
      <c r="Q238" s="10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7"/>
      <c r="G239" s="7"/>
      <c r="H239" s="3"/>
      <c r="I239" s="3"/>
      <c r="J239" s="7"/>
      <c r="K239" s="7"/>
      <c r="L239" s="3"/>
      <c r="M239" s="10"/>
      <c r="N239" s="10"/>
      <c r="O239" s="3"/>
      <c r="P239" s="3"/>
      <c r="Q239" s="10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7"/>
      <c r="G240" s="7"/>
      <c r="H240" s="3"/>
      <c r="I240" s="3"/>
      <c r="J240" s="7"/>
      <c r="K240" s="3"/>
      <c r="L240" s="3"/>
      <c r="M240" s="10"/>
      <c r="N240" s="10"/>
      <c r="O240" s="3"/>
      <c r="P240" s="3"/>
      <c r="Q240" s="10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L1:L1000">
    <cfRule type="containsText" dxfId="4" priority="1" operator="containsText" text="&quot;Terminated&quot;">
      <formula>NOT(ISERROR(SEARCH(("""Terminated"""),(L1))))</formula>
    </cfRule>
  </conditionalFormatting>
  <printOptions/>
  <pageMargins bottom="0.75" footer="0.0" header="0.0" left="0.7" right="0.7" top="0.75"/>
  <pageSetup orientation="landscape"/>
  <headerFooter>
    <oddFooter>&amp;R000000Member ID and job number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0"/>
  </cols>
  <sheetData>
    <row r="1" ht="15.75" customHeight="1">
      <c r="A1" s="11" t="s">
        <v>143</v>
      </c>
      <c r="B1" s="11" t="s">
        <v>144</v>
      </c>
    </row>
    <row r="2" ht="15.75" customHeight="1">
      <c r="A2" s="11" t="s">
        <v>145</v>
      </c>
      <c r="B2" s="11">
        <f>COUNTIF('Employees2022-December'!H2:H40,"M")</f>
        <v>19</v>
      </c>
    </row>
    <row r="3" ht="15.75" customHeight="1">
      <c r="A3" s="11" t="s">
        <v>146</v>
      </c>
      <c r="B3" s="11">
        <f>COUNTIF('Employees2022-December'!H2:H41,"F")</f>
        <v>20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&amp;R000000Member ID and job number </oddFooter>
  </headerFooter>
  <drawing r:id="rId1"/>
</worksheet>
</file>