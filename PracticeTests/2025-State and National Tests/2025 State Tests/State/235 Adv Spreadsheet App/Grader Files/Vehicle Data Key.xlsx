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ummary Year" sheetId="2" r:id="rId6"/>
  </sheets>
  <definedNames>
    <definedName localSheetId="0" name="ExternalData_1">Data!$A$1:$P$41</definedName>
  </definedNames>
  <calcPr/>
</workbook>
</file>

<file path=xl/sharedStrings.xml><?xml version="1.0" encoding="utf-8"?>
<sst xmlns="http://schemas.openxmlformats.org/spreadsheetml/2006/main" count="377" uniqueCount="154">
  <si>
    <t>VIN (1-10)</t>
  </si>
  <si>
    <t>County</t>
  </si>
  <si>
    <t>City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</si>
  <si>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</si>
  <si>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</si>
  <si>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</si>
  <si>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</si>
  <si>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</si>
  <si>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</si>
  <si>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</si>
  <si>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Base MSRP</t>
  </si>
  <si>
    <t>Legislative District</t>
  </si>
  <si>
    <t>DOL Vehicle ID</t>
  </si>
  <si>
    <t>Vehicle Location</t>
  </si>
  <si>
    <t>Electric Utility</t>
  </si>
  <si>
    <t>2020 Census Tract</t>
  </si>
  <si>
    <t>JN1AZ0CP5C</t>
  </si>
  <si>
    <t>Stevens</t>
  </si>
  <si>
    <t>Colville</t>
  </si>
  <si>
    <t>Nissan</t>
  </si>
  <si>
    <t>Leaf</t>
  </si>
  <si>
    <t>Battery Electric Vehicle (BEV)</t>
  </si>
  <si>
    <t>Clean Alternative Fuel Vehicle Eligible</t>
  </si>
  <si>
    <t>POINT (-117.885418 48.541035)</t>
  </si>
  <si>
    <t>AVISTA CORP</t>
  </si>
  <si>
    <t>5YJSA1DNXD</t>
  </si>
  <si>
    <t>Thurston</t>
  </si>
  <si>
    <t>Olympia</t>
  </si>
  <si>
    <t>Tesla</t>
  </si>
  <si>
    <t>Model S</t>
  </si>
  <si>
    <t>POINT (-122.86491 47.07503)</t>
  </si>
  <si>
    <t>PUGET SOUND ENERGY INC</t>
  </si>
  <si>
    <t>5YJSA1H2XE</t>
  </si>
  <si>
    <t>Snohomish</t>
  </si>
  <si>
    <t>Arlington</t>
  </si>
  <si>
    <t>POINT (-122.11597 48.194109)</t>
  </si>
  <si>
    <t>1N4AZ0CP8F</t>
  </si>
  <si>
    <t>Monroe</t>
  </si>
  <si>
    <t>POINT (-121.968385 47.854897)</t>
  </si>
  <si>
    <t>KNDJX3AEXG</t>
  </si>
  <si>
    <t>King</t>
  </si>
  <si>
    <t>Renton</t>
  </si>
  <si>
    <t>Kia</t>
  </si>
  <si>
    <t>Soul</t>
  </si>
  <si>
    <t>POINT (-122.1476337 47.4438471)</t>
  </si>
  <si>
    <t>PUGET SOUND ENERGY INC||CITY OF TACOMA - (WA)</t>
  </si>
  <si>
    <t>5YJSA1E23G</t>
  </si>
  <si>
    <t>POINT (-122.0483457 47.9435765)</t>
  </si>
  <si>
    <t>5YJXCBE29G</t>
  </si>
  <si>
    <t>Kitsap</t>
  </si>
  <si>
    <t>Poulsbo</t>
  </si>
  <si>
    <t>Model X</t>
  </si>
  <si>
    <t>POINT (-122.6368884 47.7469547)</t>
  </si>
  <si>
    <t>5YJXCAE20G</t>
  </si>
  <si>
    <t>Seatac</t>
  </si>
  <si>
    <t>POINT (-122.297205 47.486649)</t>
  </si>
  <si>
    <t>CITY OF SEATTLE - (WA)|CITY OF TACOMA - (WA)</t>
  </si>
  <si>
    <t>1G1RC6S5XH</t>
  </si>
  <si>
    <t>Port Orchard</t>
  </si>
  <si>
    <t>Chevrolet</t>
  </si>
  <si>
    <t>Volt</t>
  </si>
  <si>
    <t>Plug-in Hybrid Electric Vehicle (PHEV)</t>
  </si>
  <si>
    <t>POINT (-122.6530052 47.4739066)</t>
  </si>
  <si>
    <t>5YJSA1E28H</t>
  </si>
  <si>
    <t>POINT (-122.943445 47.059252)</t>
  </si>
  <si>
    <t>5YJSA1E24H</t>
  </si>
  <si>
    <t>Bothell</t>
  </si>
  <si>
    <t>POINT (-122.206146 47.839957)</t>
  </si>
  <si>
    <t>WBY1Z6C34H</t>
  </si>
  <si>
    <t>Bmw</t>
  </si>
  <si>
    <t>I3</t>
  </si>
  <si>
    <t>5YJXCAE28J</t>
  </si>
  <si>
    <t>Auburn</t>
  </si>
  <si>
    <t>POINT (-122.1550193 47.2884536)</t>
  </si>
  <si>
    <t>5YJ3E1EA3J</t>
  </si>
  <si>
    <t>Seattle</t>
  </si>
  <si>
    <t>Model 3</t>
  </si>
  <si>
    <t>POINT (-122.3008235 47.6862671)</t>
  </si>
  <si>
    <t>WBY7Z2C58J</t>
  </si>
  <si>
    <t>POINT (-122.394937 47.649547)</t>
  </si>
  <si>
    <t>1N4AZ1CP6J</t>
  </si>
  <si>
    <t>Bremerton</t>
  </si>
  <si>
    <t>POINT (-122.6961203 47.5759584)</t>
  </si>
  <si>
    <t>5YJ3E1EB8J</t>
  </si>
  <si>
    <t>Mill Creek</t>
  </si>
  <si>
    <t>WP1AE2A21J</t>
  </si>
  <si>
    <t>Everett</t>
  </si>
  <si>
    <t>Porsche</t>
  </si>
  <si>
    <t>Cayenne</t>
  </si>
  <si>
    <t>Not eligible due to low battery range</t>
  </si>
  <si>
    <t>POINT (-122.2032349 47.8956271)</t>
  </si>
  <si>
    <t>WMZYU7C41J</t>
  </si>
  <si>
    <t>Mini</t>
  </si>
  <si>
    <t>Countryman</t>
  </si>
  <si>
    <t>5YJ3E1EB6K</t>
  </si>
  <si>
    <t>POINT (-122.3173531 47.5484673)</t>
  </si>
  <si>
    <t>1N4BZ1CP7K</t>
  </si>
  <si>
    <t>POINT (-122.2107298 47.7977268)</t>
  </si>
  <si>
    <t>5YJ3E1EB7K</t>
  </si>
  <si>
    <t>1G1FY6S08K</t>
  </si>
  <si>
    <t>Tumwater</t>
  </si>
  <si>
    <t>Bolt Ev</t>
  </si>
  <si>
    <t>POINT (-122.957046 46.991391)</t>
  </si>
  <si>
    <t>5YJ3E1EC3L</t>
  </si>
  <si>
    <t>Yelm</t>
  </si>
  <si>
    <t>POINT (-122.5715761 46.9095798)</t>
  </si>
  <si>
    <t>5YJYGDEEXL</t>
  </si>
  <si>
    <t>Model Y</t>
  </si>
  <si>
    <t>POINT (-122.2003346 47.4487206)</t>
  </si>
  <si>
    <t>5YJ3E1EA2L</t>
  </si>
  <si>
    <t>POINT (-122.6064912 47.5236145)</t>
  </si>
  <si>
    <t>5YJ3E1EB2L</t>
  </si>
  <si>
    <t>Chelan</t>
  </si>
  <si>
    <t>Wenatchee</t>
  </si>
  <si>
    <t>POINT (-120.3283376 47.4280056)</t>
  </si>
  <si>
    <t>PUD NO 1 OF CHELAN COUNTY</t>
  </si>
  <si>
    <t>5YJ3E1EA3L</t>
  </si>
  <si>
    <t>POINT (-122.304356 47.715668)</t>
  </si>
  <si>
    <t>JTDKAMFP0M</t>
  </si>
  <si>
    <t>Yakima</t>
  </si>
  <si>
    <t>Toyota</t>
  </si>
  <si>
    <t>Prius Prime</t>
  </si>
  <si>
    <t>POINT (-120.530331 46.59534)</t>
  </si>
  <si>
    <t>PACIFICORP</t>
  </si>
  <si>
    <t>5UXTS1C01M</t>
  </si>
  <si>
    <t>Rochester</t>
  </si>
  <si>
    <t>X3</t>
  </si>
  <si>
    <t>POINT (-123.0498592 46.8153419)</t>
  </si>
  <si>
    <t>5UXTS1C06M</t>
  </si>
  <si>
    <t>YV4BR0CM2M</t>
  </si>
  <si>
    <t>Bainbridge Island</t>
  </si>
  <si>
    <t>Volvo</t>
  </si>
  <si>
    <t>Xc90</t>
  </si>
  <si>
    <t>POINT (-122.5305071 47.6400595)</t>
  </si>
  <si>
    <t>YV4BR00L4N</t>
  </si>
  <si>
    <t>7SAYGDEE7N</t>
  </si>
  <si>
    <t>Eligibility unknown as battery range has not been researched</t>
  </si>
  <si>
    <t>1N4BZ1BV4N</t>
  </si>
  <si>
    <t>1FMCU0EZXN</t>
  </si>
  <si>
    <t>Moxee</t>
  </si>
  <si>
    <t>Ford</t>
  </si>
  <si>
    <t>Escape</t>
  </si>
  <si>
    <t>POINT (-120.3552229 46.550869)</t>
  </si>
  <si>
    <t>1FTVW1EV4P</t>
  </si>
  <si>
    <t>F-150</t>
  </si>
  <si>
    <t>5UXTA6C09P</t>
  </si>
  <si>
    <t>X5</t>
  </si>
  <si>
    <t>KNDCR3LF8P</t>
  </si>
  <si>
    <t>Niro</t>
  </si>
  <si>
    <t>1C4RJXN66R</t>
  </si>
  <si>
    <t>Jeep</t>
  </si>
  <si>
    <t>Wrangler</t>
  </si>
  <si>
    <t>POINT (-122.2507211 47.8976713)</t>
  </si>
  <si>
    <t>Number of vehicles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</si>
</sst>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4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41" displayName="Table_1" name="Table_1" id="1">
  <tableColumns count="16">
    <tableColumn name="VIN (1-10)" id="1"/>
    <tableColumn name="County" id="2"/>
    <tableColumn name="City" id="3"/>
    <tableColumn name="Postal Code" id="4"/>
    <tableColumn name="Model Year" id="5"/>
    <tableColumn name="Make" id="6"/>
    <tableColumn name="Model" id="7"/>
    <tableColumn name="Electric Vehicle Type" id="8"/>
    <tableColumn name="Clean Alternative Fuel Vehicle (CAFV) Eligibility" id="9"/>
    <tableColumn name="Electric Range" id="10"/>
    <tableColumn name="Base MSRP" id="11"/>
    <tableColumn name="Legislative District" id="12"/>
    <tableColumn name="DOL Vehicle ID" id="13"/>
    <tableColumn name="Vehicle Location" id="14"/>
    <tableColumn name="Electric Utility" id="15"/>
    <tableColumn name="2020 Census Tract" id="16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78"/>
    <col customWidth="1" min="2" max="2" width="11.11"/>
    <col customWidth="1" min="3" max="3" width="15.11"/>
    <col customWidth="1" min="4" max="4" width="15.67"/>
    <col customWidth="1" min="5" max="5" width="15.44"/>
    <col customWidth="1" min="6" max="6" width="9.33"/>
    <col customWidth="1" min="7" max="7" width="11.0"/>
    <col customWidth="1" min="8" max="8" width="33.78"/>
    <col customWidth="1" min="9" max="9" width="55.44"/>
    <col customWidth="1" min="10" max="10" width="18.33"/>
    <col customWidth="1" min="11" max="11" width="15.44"/>
    <col customWidth="1" min="12" max="12" width="22.67"/>
    <col customWidth="1" min="13" max="13" width="20.0"/>
    <col customWidth="1" min="14" max="14" width="30.67"/>
    <col customWidth="1" min="15" max="15" width="53.44"/>
    <col customWidth="1" min="16" max="16" width="22.33"/>
    <col customWidth="1" min="1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16</v>
      </c>
      <c r="B2" s="3" t="s">
        <v>17</v>
      </c>
      <c r="C2" s="3" t="s">
        <v>18</v>
      </c>
      <c r="D2" s="3">
        <v>99114.0</v>
      </c>
      <c r="E2" s="3">
        <v>2012.0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73.0</v>
      </c>
      <c r="K2" s="3">
        <v>0.0</v>
      </c>
      <c r="L2" s="3">
        <v>7.0</v>
      </c>
      <c r="M2" s="3">
        <v>1.53331706E8</v>
      </c>
      <c r="N2" s="3" t="s">
        <v>23</v>
      </c>
      <c r="O2" s="3" t="s">
        <v>24</v>
      </c>
      <c r="P2" s="3">
        <v>5.30659502E10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25</v>
      </c>
      <c r="B3" s="3" t="s">
        <v>26</v>
      </c>
      <c r="C3" s="3" t="s">
        <v>27</v>
      </c>
      <c r="D3" s="3">
        <v>98506.0</v>
      </c>
      <c r="E3" s="3">
        <v>2013.0</v>
      </c>
      <c r="F3" s="3" t="s">
        <v>28</v>
      </c>
      <c r="G3" s="3" t="s">
        <v>29</v>
      </c>
      <c r="H3" s="3" t="s">
        <v>21</v>
      </c>
      <c r="I3" s="3" t="s">
        <v>22</v>
      </c>
      <c r="J3" s="3">
        <v>208.0</v>
      </c>
      <c r="K3" s="3">
        <v>69900.0</v>
      </c>
      <c r="L3" s="3">
        <v>22.0</v>
      </c>
      <c r="M3" s="3">
        <v>4.75076241E8</v>
      </c>
      <c r="N3" s="3" t="s">
        <v>30</v>
      </c>
      <c r="O3" s="3" t="s">
        <v>31</v>
      </c>
      <c r="P3" s="3">
        <v>5.30670103E10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32</v>
      </c>
      <c r="B4" s="3" t="s">
        <v>33</v>
      </c>
      <c r="C4" s="3" t="s">
        <v>34</v>
      </c>
      <c r="D4" s="3">
        <v>98223.0</v>
      </c>
      <c r="E4" s="3">
        <v>2014.0</v>
      </c>
      <c r="F4" s="3" t="s">
        <v>28</v>
      </c>
      <c r="G4" s="3" t="s">
        <v>29</v>
      </c>
      <c r="H4" s="3" t="s">
        <v>21</v>
      </c>
      <c r="I4" s="3" t="s">
        <v>22</v>
      </c>
      <c r="J4" s="3">
        <v>208.0</v>
      </c>
      <c r="K4" s="3">
        <v>69900.0</v>
      </c>
      <c r="L4" s="3">
        <v>39.0</v>
      </c>
      <c r="M4" s="3">
        <v>1.93175517E8</v>
      </c>
      <c r="N4" s="3" t="s">
        <v>35</v>
      </c>
      <c r="O4" s="3" t="s">
        <v>31</v>
      </c>
      <c r="P4" s="3">
        <v>5.3061052701E10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36</v>
      </c>
      <c r="B5" s="3" t="s">
        <v>33</v>
      </c>
      <c r="C5" s="3" t="s">
        <v>37</v>
      </c>
      <c r="D5" s="3">
        <v>98272.0</v>
      </c>
      <c r="E5" s="3">
        <v>2015.0</v>
      </c>
      <c r="F5" s="3" t="s">
        <v>19</v>
      </c>
      <c r="G5" s="3" t="s">
        <v>20</v>
      </c>
      <c r="H5" s="3" t="s">
        <v>21</v>
      </c>
      <c r="I5" s="3" t="s">
        <v>22</v>
      </c>
      <c r="J5" s="3">
        <v>84.0</v>
      </c>
      <c r="K5" s="3">
        <v>0.0</v>
      </c>
      <c r="L5" s="3">
        <v>39.0</v>
      </c>
      <c r="M5" s="3">
        <v>1.87075577E8</v>
      </c>
      <c r="N5" s="3" t="s">
        <v>38</v>
      </c>
      <c r="O5" s="3" t="s">
        <v>31</v>
      </c>
      <c r="P5" s="3">
        <v>5.3061052206E10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39</v>
      </c>
      <c r="B6" s="3" t="s">
        <v>40</v>
      </c>
      <c r="C6" s="3" t="s">
        <v>41</v>
      </c>
      <c r="D6" s="3">
        <v>98058.0</v>
      </c>
      <c r="E6" s="3">
        <v>2016.0</v>
      </c>
      <c r="F6" s="3" t="s">
        <v>42</v>
      </c>
      <c r="G6" s="3" t="s">
        <v>43</v>
      </c>
      <c r="H6" s="3" t="s">
        <v>21</v>
      </c>
      <c r="I6" s="3" t="s">
        <v>22</v>
      </c>
      <c r="J6" s="3">
        <v>93.0</v>
      </c>
      <c r="K6" s="3">
        <v>31950.0</v>
      </c>
      <c r="L6" s="3">
        <v>11.0</v>
      </c>
      <c r="M6" s="3">
        <v>2.10641315E8</v>
      </c>
      <c r="N6" s="3" t="s">
        <v>44</v>
      </c>
      <c r="O6" s="3" t="s">
        <v>45</v>
      </c>
      <c r="P6" s="3">
        <v>5.3033025804E10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46</v>
      </c>
      <c r="B7" s="3" t="s">
        <v>33</v>
      </c>
      <c r="C7" s="3" t="s">
        <v>33</v>
      </c>
      <c r="D7" s="3">
        <v>98290.0</v>
      </c>
      <c r="E7" s="3">
        <v>2016.0</v>
      </c>
      <c r="F7" s="3" t="s">
        <v>28</v>
      </c>
      <c r="G7" s="3" t="s">
        <v>29</v>
      </c>
      <c r="H7" s="3" t="s">
        <v>21</v>
      </c>
      <c r="I7" s="3" t="s">
        <v>22</v>
      </c>
      <c r="J7" s="3">
        <v>210.0</v>
      </c>
      <c r="K7" s="3">
        <v>0.0</v>
      </c>
      <c r="L7" s="3">
        <v>44.0</v>
      </c>
      <c r="M7" s="3">
        <v>3.48785223E8</v>
      </c>
      <c r="N7" s="3" t="s">
        <v>47</v>
      </c>
      <c r="O7" s="3" t="s">
        <v>31</v>
      </c>
      <c r="P7" s="3">
        <v>5.3061052502E10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48</v>
      </c>
      <c r="B8" s="3" t="s">
        <v>49</v>
      </c>
      <c r="C8" s="3" t="s">
        <v>50</v>
      </c>
      <c r="D8" s="3">
        <v>98370.0</v>
      </c>
      <c r="E8" s="3">
        <v>2016.0</v>
      </c>
      <c r="F8" s="3" t="s">
        <v>28</v>
      </c>
      <c r="G8" s="3" t="s">
        <v>51</v>
      </c>
      <c r="H8" s="3" t="s">
        <v>21</v>
      </c>
      <c r="I8" s="3" t="s">
        <v>22</v>
      </c>
      <c r="J8" s="3">
        <v>200.0</v>
      </c>
      <c r="K8" s="3">
        <v>0.0</v>
      </c>
      <c r="L8" s="3">
        <v>23.0</v>
      </c>
      <c r="M8" s="3">
        <v>6406879.0</v>
      </c>
      <c r="N8" s="3" t="s">
        <v>52</v>
      </c>
      <c r="O8" s="3" t="s">
        <v>31</v>
      </c>
      <c r="P8" s="3">
        <v>5.30350911E10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53</v>
      </c>
      <c r="B9" s="3" t="s">
        <v>40</v>
      </c>
      <c r="C9" s="3" t="s">
        <v>54</v>
      </c>
      <c r="D9" s="3">
        <v>98168.0</v>
      </c>
      <c r="E9" s="3">
        <v>2016.0</v>
      </c>
      <c r="F9" s="3" t="s">
        <v>28</v>
      </c>
      <c r="G9" s="3" t="s">
        <v>51</v>
      </c>
      <c r="H9" s="3" t="s">
        <v>21</v>
      </c>
      <c r="I9" s="3" t="s">
        <v>22</v>
      </c>
      <c r="J9" s="3">
        <v>200.0</v>
      </c>
      <c r="K9" s="3">
        <v>0.0</v>
      </c>
      <c r="L9" s="3">
        <v>33.0</v>
      </c>
      <c r="M9" s="3">
        <v>2.19998173E8</v>
      </c>
      <c r="N9" s="3" t="s">
        <v>55</v>
      </c>
      <c r="O9" s="3" t="s">
        <v>56</v>
      </c>
      <c r="P9" s="3">
        <v>5.30330273E10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57</v>
      </c>
      <c r="B10" s="3" t="s">
        <v>49</v>
      </c>
      <c r="C10" s="3" t="s">
        <v>58</v>
      </c>
      <c r="D10" s="3">
        <v>98367.0</v>
      </c>
      <c r="E10" s="3">
        <v>2017.0</v>
      </c>
      <c r="F10" s="3" t="s">
        <v>59</v>
      </c>
      <c r="G10" s="3" t="s">
        <v>60</v>
      </c>
      <c r="H10" s="3" t="s">
        <v>61</v>
      </c>
      <c r="I10" s="3" t="s">
        <v>22</v>
      </c>
      <c r="J10" s="3">
        <v>53.0</v>
      </c>
      <c r="K10" s="3">
        <v>0.0</v>
      </c>
      <c r="L10" s="3">
        <v>26.0</v>
      </c>
      <c r="M10" s="3">
        <v>7832933.0</v>
      </c>
      <c r="N10" s="3" t="s">
        <v>62</v>
      </c>
      <c r="O10" s="3" t="s">
        <v>31</v>
      </c>
      <c r="P10" s="3">
        <v>5.3035092902E10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3" t="s">
        <v>63</v>
      </c>
      <c r="B11" s="3" t="s">
        <v>26</v>
      </c>
      <c r="C11" s="3" t="s">
        <v>27</v>
      </c>
      <c r="D11" s="3">
        <v>98502.0</v>
      </c>
      <c r="E11" s="3">
        <v>2017.0</v>
      </c>
      <c r="F11" s="3" t="s">
        <v>28</v>
      </c>
      <c r="G11" s="3" t="s">
        <v>29</v>
      </c>
      <c r="H11" s="3" t="s">
        <v>21</v>
      </c>
      <c r="I11" s="3" t="s">
        <v>22</v>
      </c>
      <c r="J11" s="3">
        <v>210.0</v>
      </c>
      <c r="K11" s="3">
        <v>0.0</v>
      </c>
      <c r="L11" s="3">
        <v>22.0</v>
      </c>
      <c r="M11" s="3">
        <v>2.11899019E8</v>
      </c>
      <c r="N11" s="3" t="s">
        <v>64</v>
      </c>
      <c r="O11" s="3" t="s">
        <v>31</v>
      </c>
      <c r="P11" s="3">
        <v>5.3067012002E10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65</v>
      </c>
      <c r="B12" s="3" t="s">
        <v>33</v>
      </c>
      <c r="C12" s="3" t="s">
        <v>66</v>
      </c>
      <c r="D12" s="3">
        <v>98012.0</v>
      </c>
      <c r="E12" s="3">
        <v>2017.0</v>
      </c>
      <c r="F12" s="3" t="s">
        <v>28</v>
      </c>
      <c r="G12" s="3" t="s">
        <v>29</v>
      </c>
      <c r="H12" s="3" t="s">
        <v>21</v>
      </c>
      <c r="I12" s="3" t="s">
        <v>22</v>
      </c>
      <c r="J12" s="3">
        <v>210.0</v>
      </c>
      <c r="K12" s="3">
        <v>0.0</v>
      </c>
      <c r="L12" s="3">
        <v>44.0</v>
      </c>
      <c r="M12" s="3">
        <v>2.66967277E8</v>
      </c>
      <c r="N12" s="3" t="s">
        <v>67</v>
      </c>
      <c r="O12" s="3" t="s">
        <v>31</v>
      </c>
      <c r="P12" s="3">
        <v>5.3061052005E10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3" t="s">
        <v>68</v>
      </c>
      <c r="B13" s="3" t="s">
        <v>33</v>
      </c>
      <c r="C13" s="3" t="s">
        <v>33</v>
      </c>
      <c r="D13" s="3">
        <v>98290.0</v>
      </c>
      <c r="E13" s="3">
        <v>2017.0</v>
      </c>
      <c r="F13" s="3" t="s">
        <v>69</v>
      </c>
      <c r="G13" s="3" t="s">
        <v>70</v>
      </c>
      <c r="H13" s="3" t="s">
        <v>21</v>
      </c>
      <c r="I13" s="3" t="s">
        <v>22</v>
      </c>
      <c r="J13" s="3">
        <v>81.0</v>
      </c>
      <c r="K13" s="3">
        <v>0.0</v>
      </c>
      <c r="L13" s="3">
        <v>44.0</v>
      </c>
      <c r="M13" s="3">
        <v>1.15260113E8</v>
      </c>
      <c r="N13" s="3" t="s">
        <v>47</v>
      </c>
      <c r="O13" s="3" t="s">
        <v>31</v>
      </c>
      <c r="P13" s="3">
        <v>5.3061052401E10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71</v>
      </c>
      <c r="B14" s="3" t="s">
        <v>40</v>
      </c>
      <c r="C14" s="3" t="s">
        <v>72</v>
      </c>
      <c r="D14" s="3">
        <v>98092.0</v>
      </c>
      <c r="E14" s="3">
        <v>2018.0</v>
      </c>
      <c r="F14" s="3" t="s">
        <v>28</v>
      </c>
      <c r="G14" s="3" t="s">
        <v>51</v>
      </c>
      <c r="H14" s="3" t="s">
        <v>21</v>
      </c>
      <c r="I14" s="3" t="s">
        <v>22</v>
      </c>
      <c r="J14" s="3">
        <v>238.0</v>
      </c>
      <c r="K14" s="3">
        <v>0.0</v>
      </c>
      <c r="L14" s="3">
        <v>47.0</v>
      </c>
      <c r="M14" s="3">
        <v>1.49766508E8</v>
      </c>
      <c r="N14" s="3" t="s">
        <v>73</v>
      </c>
      <c r="O14" s="3" t="s">
        <v>45</v>
      </c>
      <c r="P14" s="3">
        <v>5.3033031207E10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74</v>
      </c>
      <c r="B15" s="3" t="s">
        <v>40</v>
      </c>
      <c r="C15" s="3" t="s">
        <v>75</v>
      </c>
      <c r="D15" s="3">
        <v>98115.0</v>
      </c>
      <c r="E15" s="3">
        <v>2018.0</v>
      </c>
      <c r="F15" s="3" t="s">
        <v>28</v>
      </c>
      <c r="G15" s="3" t="s">
        <v>76</v>
      </c>
      <c r="H15" s="3" t="s">
        <v>21</v>
      </c>
      <c r="I15" s="3" t="s">
        <v>22</v>
      </c>
      <c r="J15" s="3">
        <v>215.0</v>
      </c>
      <c r="K15" s="3">
        <v>0.0</v>
      </c>
      <c r="L15" s="3">
        <v>46.0</v>
      </c>
      <c r="M15" s="3">
        <v>2.83964453E8</v>
      </c>
      <c r="N15" s="3" t="s">
        <v>77</v>
      </c>
      <c r="O15" s="3" t="s">
        <v>56</v>
      </c>
      <c r="P15" s="3">
        <v>5.30330022E10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78</v>
      </c>
      <c r="B16" s="3" t="s">
        <v>40</v>
      </c>
      <c r="C16" s="3" t="s">
        <v>75</v>
      </c>
      <c r="D16" s="3">
        <v>98199.0</v>
      </c>
      <c r="E16" s="3">
        <v>2018.0</v>
      </c>
      <c r="F16" s="3" t="s">
        <v>69</v>
      </c>
      <c r="G16" s="3" t="s">
        <v>70</v>
      </c>
      <c r="H16" s="3" t="s">
        <v>21</v>
      </c>
      <c r="I16" s="3" t="s">
        <v>22</v>
      </c>
      <c r="J16" s="3">
        <v>114.0</v>
      </c>
      <c r="K16" s="3">
        <v>0.0</v>
      </c>
      <c r="L16" s="3">
        <v>36.0</v>
      </c>
      <c r="M16" s="3">
        <v>1.2494987E8</v>
      </c>
      <c r="N16" s="3" t="s">
        <v>79</v>
      </c>
      <c r="O16" s="3" t="s">
        <v>56</v>
      </c>
      <c r="P16" s="3">
        <v>5.3033005803E10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80</v>
      </c>
      <c r="B17" s="3" t="s">
        <v>49</v>
      </c>
      <c r="C17" s="3" t="s">
        <v>81</v>
      </c>
      <c r="D17" s="3">
        <v>98312.0</v>
      </c>
      <c r="E17" s="3">
        <v>2018.0</v>
      </c>
      <c r="F17" s="3" t="s">
        <v>19</v>
      </c>
      <c r="G17" s="3" t="s">
        <v>20</v>
      </c>
      <c r="H17" s="3" t="s">
        <v>21</v>
      </c>
      <c r="I17" s="3" t="s">
        <v>22</v>
      </c>
      <c r="J17" s="3">
        <v>151.0</v>
      </c>
      <c r="K17" s="3">
        <v>0.0</v>
      </c>
      <c r="L17" s="3">
        <v>35.0</v>
      </c>
      <c r="M17" s="3">
        <v>4.74183811E8</v>
      </c>
      <c r="N17" s="3" t="s">
        <v>82</v>
      </c>
      <c r="O17" s="3" t="s">
        <v>31</v>
      </c>
      <c r="P17" s="3">
        <v>5.30350807E10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83</v>
      </c>
      <c r="B18" s="3" t="s">
        <v>33</v>
      </c>
      <c r="C18" s="3" t="s">
        <v>84</v>
      </c>
      <c r="D18" s="3">
        <v>98012.0</v>
      </c>
      <c r="E18" s="3">
        <v>2018.0</v>
      </c>
      <c r="F18" s="3" t="s">
        <v>28</v>
      </c>
      <c r="G18" s="3" t="s">
        <v>76</v>
      </c>
      <c r="H18" s="3" t="s">
        <v>21</v>
      </c>
      <c r="I18" s="3" t="s">
        <v>22</v>
      </c>
      <c r="J18" s="3">
        <v>215.0</v>
      </c>
      <c r="K18" s="3">
        <v>0.0</v>
      </c>
      <c r="L18" s="3">
        <v>44.0</v>
      </c>
      <c r="M18" s="3">
        <v>4.75227392E8</v>
      </c>
      <c r="N18" s="3" t="s">
        <v>67</v>
      </c>
      <c r="O18" s="3" t="s">
        <v>31</v>
      </c>
      <c r="P18" s="3">
        <v>5.3061052008E10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85</v>
      </c>
      <c r="B19" s="3" t="s">
        <v>33</v>
      </c>
      <c r="C19" s="3" t="s">
        <v>86</v>
      </c>
      <c r="D19" s="3">
        <v>98208.0</v>
      </c>
      <c r="E19" s="3">
        <v>2018.0</v>
      </c>
      <c r="F19" s="3" t="s">
        <v>87</v>
      </c>
      <c r="G19" s="3" t="s">
        <v>88</v>
      </c>
      <c r="H19" s="3" t="s">
        <v>61</v>
      </c>
      <c r="I19" s="3" t="s">
        <v>89</v>
      </c>
      <c r="J19" s="3">
        <v>14.0</v>
      </c>
      <c r="K19" s="3">
        <v>0.0</v>
      </c>
      <c r="L19" s="3">
        <v>44.0</v>
      </c>
      <c r="M19" s="3">
        <v>1.22759276E8</v>
      </c>
      <c r="N19" s="3" t="s">
        <v>90</v>
      </c>
      <c r="O19" s="3" t="s">
        <v>31</v>
      </c>
      <c r="P19" s="3">
        <v>5.3061041606E10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91</v>
      </c>
      <c r="B20" s="3" t="s">
        <v>49</v>
      </c>
      <c r="C20" s="3" t="s">
        <v>50</v>
      </c>
      <c r="D20" s="3">
        <v>98370.0</v>
      </c>
      <c r="E20" s="3">
        <v>2018.0</v>
      </c>
      <c r="F20" s="3" t="s">
        <v>92</v>
      </c>
      <c r="G20" s="3" t="s">
        <v>93</v>
      </c>
      <c r="H20" s="3" t="s">
        <v>61</v>
      </c>
      <c r="I20" s="3" t="s">
        <v>89</v>
      </c>
      <c r="J20" s="3">
        <v>12.0</v>
      </c>
      <c r="K20" s="3">
        <v>36800.0</v>
      </c>
      <c r="L20" s="3">
        <v>23.0</v>
      </c>
      <c r="M20" s="3">
        <v>1.10855916E8</v>
      </c>
      <c r="N20" s="3" t="s">
        <v>52</v>
      </c>
      <c r="O20" s="3" t="s">
        <v>31</v>
      </c>
      <c r="P20" s="3">
        <v>5.3035090502E10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94</v>
      </c>
      <c r="B21" s="3" t="s">
        <v>40</v>
      </c>
      <c r="C21" s="3" t="s">
        <v>75</v>
      </c>
      <c r="D21" s="3">
        <v>98108.0</v>
      </c>
      <c r="E21" s="3">
        <v>2019.0</v>
      </c>
      <c r="F21" s="3" t="s">
        <v>28</v>
      </c>
      <c r="G21" s="3" t="s">
        <v>76</v>
      </c>
      <c r="H21" s="3" t="s">
        <v>21</v>
      </c>
      <c r="I21" s="3" t="s">
        <v>22</v>
      </c>
      <c r="J21" s="3">
        <v>220.0</v>
      </c>
      <c r="K21" s="3">
        <v>0.0</v>
      </c>
      <c r="L21" s="3">
        <v>11.0</v>
      </c>
      <c r="M21" s="3">
        <v>2.32690629E8</v>
      </c>
      <c r="N21" s="3" t="s">
        <v>95</v>
      </c>
      <c r="O21" s="3" t="s">
        <v>56</v>
      </c>
      <c r="P21" s="3">
        <v>5.3033010402E10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96</v>
      </c>
      <c r="B22" s="3" t="s">
        <v>33</v>
      </c>
      <c r="C22" s="3" t="s">
        <v>66</v>
      </c>
      <c r="D22" s="3">
        <v>98021.0</v>
      </c>
      <c r="E22" s="3">
        <v>2019.0</v>
      </c>
      <c r="F22" s="3" t="s">
        <v>19</v>
      </c>
      <c r="G22" s="3" t="s">
        <v>20</v>
      </c>
      <c r="H22" s="3" t="s">
        <v>21</v>
      </c>
      <c r="I22" s="3" t="s">
        <v>22</v>
      </c>
      <c r="J22" s="3">
        <v>150.0</v>
      </c>
      <c r="K22" s="3">
        <v>0.0</v>
      </c>
      <c r="L22" s="3">
        <v>1.0</v>
      </c>
      <c r="M22" s="3">
        <v>1.15103796E8</v>
      </c>
      <c r="N22" s="3" t="s">
        <v>97</v>
      </c>
      <c r="O22" s="3" t="s">
        <v>31</v>
      </c>
      <c r="P22" s="3">
        <v>5.3061051917E10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98</v>
      </c>
      <c r="B23" s="3" t="s">
        <v>17</v>
      </c>
      <c r="C23" s="3" t="s">
        <v>18</v>
      </c>
      <c r="D23" s="3">
        <v>99114.0</v>
      </c>
      <c r="E23" s="3">
        <v>2019.0</v>
      </c>
      <c r="F23" s="3" t="s">
        <v>28</v>
      </c>
      <c r="G23" s="3" t="s">
        <v>76</v>
      </c>
      <c r="H23" s="3" t="s">
        <v>21</v>
      </c>
      <c r="I23" s="3" t="s">
        <v>22</v>
      </c>
      <c r="J23" s="3">
        <v>220.0</v>
      </c>
      <c r="K23" s="3">
        <v>0.0</v>
      </c>
      <c r="L23" s="3">
        <v>7.0</v>
      </c>
      <c r="M23" s="3">
        <v>2.78862286E8</v>
      </c>
      <c r="N23" s="3" t="s">
        <v>23</v>
      </c>
      <c r="O23" s="3" t="s">
        <v>24</v>
      </c>
      <c r="P23" s="3">
        <v>5.30659503E10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99</v>
      </c>
      <c r="B24" s="3" t="s">
        <v>26</v>
      </c>
      <c r="C24" s="3" t="s">
        <v>100</v>
      </c>
      <c r="D24" s="3">
        <v>98512.0</v>
      </c>
      <c r="E24" s="3">
        <v>2019.0</v>
      </c>
      <c r="F24" s="3" t="s">
        <v>59</v>
      </c>
      <c r="G24" s="3" t="s">
        <v>101</v>
      </c>
      <c r="H24" s="3" t="s">
        <v>21</v>
      </c>
      <c r="I24" s="3" t="s">
        <v>22</v>
      </c>
      <c r="J24" s="3">
        <v>238.0</v>
      </c>
      <c r="K24" s="3">
        <v>0.0</v>
      </c>
      <c r="L24" s="3">
        <v>22.0</v>
      </c>
      <c r="M24" s="3">
        <v>2.51184825E8</v>
      </c>
      <c r="N24" s="3" t="s">
        <v>102</v>
      </c>
      <c r="O24" s="3" t="s">
        <v>31</v>
      </c>
      <c r="P24" s="3">
        <v>5.306701091E10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103</v>
      </c>
      <c r="B25" s="3" t="s">
        <v>26</v>
      </c>
      <c r="C25" s="3" t="s">
        <v>104</v>
      </c>
      <c r="D25" s="3">
        <v>98597.0</v>
      </c>
      <c r="E25" s="3">
        <v>2020.0</v>
      </c>
      <c r="F25" s="3" t="s">
        <v>28</v>
      </c>
      <c r="G25" s="3" t="s">
        <v>76</v>
      </c>
      <c r="H25" s="3" t="s">
        <v>21</v>
      </c>
      <c r="I25" s="3" t="s">
        <v>22</v>
      </c>
      <c r="J25" s="3">
        <v>308.0</v>
      </c>
      <c r="K25" s="3">
        <v>0.0</v>
      </c>
      <c r="L25" s="3">
        <v>2.0</v>
      </c>
      <c r="M25" s="3">
        <v>2.54928768E8</v>
      </c>
      <c r="N25" s="3" t="s">
        <v>105</v>
      </c>
      <c r="O25" s="3" t="s">
        <v>31</v>
      </c>
      <c r="P25" s="3">
        <v>5.3067012531E10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106</v>
      </c>
      <c r="B26" s="3" t="s">
        <v>40</v>
      </c>
      <c r="C26" s="3" t="s">
        <v>41</v>
      </c>
      <c r="D26" s="3">
        <v>98055.0</v>
      </c>
      <c r="E26" s="3">
        <v>2020.0</v>
      </c>
      <c r="F26" s="3" t="s">
        <v>28</v>
      </c>
      <c r="G26" s="3" t="s">
        <v>107</v>
      </c>
      <c r="H26" s="3" t="s">
        <v>21</v>
      </c>
      <c r="I26" s="3" t="s">
        <v>22</v>
      </c>
      <c r="J26" s="3">
        <v>291.0</v>
      </c>
      <c r="K26" s="3">
        <v>0.0</v>
      </c>
      <c r="L26" s="3">
        <v>11.0</v>
      </c>
      <c r="M26" s="3">
        <v>1.24565731E8</v>
      </c>
      <c r="N26" s="3" t="s">
        <v>108</v>
      </c>
      <c r="O26" s="3" t="s">
        <v>45</v>
      </c>
      <c r="P26" s="3">
        <v>5.3033025805E10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109</v>
      </c>
      <c r="B27" s="3" t="s">
        <v>49</v>
      </c>
      <c r="C27" s="3" t="s">
        <v>58</v>
      </c>
      <c r="D27" s="3">
        <v>98366.0</v>
      </c>
      <c r="E27" s="3">
        <v>2020.0</v>
      </c>
      <c r="F27" s="3" t="s">
        <v>28</v>
      </c>
      <c r="G27" s="3" t="s">
        <v>76</v>
      </c>
      <c r="H27" s="3" t="s">
        <v>21</v>
      </c>
      <c r="I27" s="3" t="s">
        <v>22</v>
      </c>
      <c r="J27" s="3">
        <v>266.0</v>
      </c>
      <c r="K27" s="3">
        <v>0.0</v>
      </c>
      <c r="L27" s="3">
        <v>26.0</v>
      </c>
      <c r="M27" s="3">
        <v>6249078.0</v>
      </c>
      <c r="N27" s="3" t="s">
        <v>110</v>
      </c>
      <c r="O27" s="3" t="s">
        <v>31</v>
      </c>
      <c r="P27" s="3">
        <v>5.30350926E10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111</v>
      </c>
      <c r="B28" s="3" t="s">
        <v>112</v>
      </c>
      <c r="C28" s="3" t="s">
        <v>113</v>
      </c>
      <c r="D28" s="3">
        <v>98801.0</v>
      </c>
      <c r="E28" s="3">
        <v>2020.0</v>
      </c>
      <c r="F28" s="3" t="s">
        <v>28</v>
      </c>
      <c r="G28" s="3" t="s">
        <v>76</v>
      </c>
      <c r="H28" s="3" t="s">
        <v>21</v>
      </c>
      <c r="I28" s="3" t="s">
        <v>22</v>
      </c>
      <c r="J28" s="3">
        <v>322.0</v>
      </c>
      <c r="K28" s="3">
        <v>0.0</v>
      </c>
      <c r="L28" s="3">
        <v>12.0</v>
      </c>
      <c r="M28" s="3">
        <v>1.2889745E8</v>
      </c>
      <c r="N28" s="3" t="s">
        <v>114</v>
      </c>
      <c r="O28" s="3" t="s">
        <v>115</v>
      </c>
      <c r="P28" s="3">
        <v>5.30079607E10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116</v>
      </c>
      <c r="B29" s="3" t="s">
        <v>40</v>
      </c>
      <c r="C29" s="3" t="s">
        <v>75</v>
      </c>
      <c r="D29" s="3">
        <v>98125.0</v>
      </c>
      <c r="E29" s="3">
        <v>2020.0</v>
      </c>
      <c r="F29" s="3" t="s">
        <v>28</v>
      </c>
      <c r="G29" s="3" t="s">
        <v>76</v>
      </c>
      <c r="H29" s="3" t="s">
        <v>21</v>
      </c>
      <c r="I29" s="3" t="s">
        <v>22</v>
      </c>
      <c r="J29" s="3">
        <v>266.0</v>
      </c>
      <c r="K29" s="3">
        <v>0.0</v>
      </c>
      <c r="L29" s="3">
        <v>46.0</v>
      </c>
      <c r="M29" s="3">
        <v>1.24517347E8</v>
      </c>
      <c r="N29" s="3" t="s">
        <v>117</v>
      </c>
      <c r="O29" s="3" t="s">
        <v>56</v>
      </c>
      <c r="P29" s="3">
        <v>5.3033000102E10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118</v>
      </c>
      <c r="B30" s="3" t="s">
        <v>119</v>
      </c>
      <c r="C30" s="3" t="s">
        <v>119</v>
      </c>
      <c r="D30" s="3">
        <v>98902.0</v>
      </c>
      <c r="E30" s="3">
        <v>2021.0</v>
      </c>
      <c r="F30" s="3" t="s">
        <v>120</v>
      </c>
      <c r="G30" s="3" t="s">
        <v>121</v>
      </c>
      <c r="H30" s="3" t="s">
        <v>61</v>
      </c>
      <c r="I30" s="3" t="s">
        <v>89</v>
      </c>
      <c r="J30" s="3">
        <v>25.0</v>
      </c>
      <c r="K30" s="3">
        <v>0.0</v>
      </c>
      <c r="L30" s="3">
        <v>14.0</v>
      </c>
      <c r="M30" s="3">
        <v>1.52408714E8</v>
      </c>
      <c r="N30" s="3" t="s">
        <v>122</v>
      </c>
      <c r="O30" s="3" t="s">
        <v>123</v>
      </c>
      <c r="P30" s="3">
        <v>5.30770006E10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124</v>
      </c>
      <c r="B31" s="3" t="s">
        <v>26</v>
      </c>
      <c r="C31" s="3" t="s">
        <v>125</v>
      </c>
      <c r="D31" s="3">
        <v>98579.0</v>
      </c>
      <c r="E31" s="3">
        <v>2021.0</v>
      </c>
      <c r="F31" s="3" t="s">
        <v>69</v>
      </c>
      <c r="G31" s="3" t="s">
        <v>126</v>
      </c>
      <c r="H31" s="3" t="s">
        <v>61</v>
      </c>
      <c r="I31" s="3" t="s">
        <v>89</v>
      </c>
      <c r="J31" s="3">
        <v>17.0</v>
      </c>
      <c r="K31" s="3">
        <v>0.0</v>
      </c>
      <c r="L31" s="3">
        <v>20.0</v>
      </c>
      <c r="M31" s="3">
        <v>1.52190328E8</v>
      </c>
      <c r="N31" s="3" t="s">
        <v>127</v>
      </c>
      <c r="O31" s="3" t="s">
        <v>31</v>
      </c>
      <c r="P31" s="3">
        <v>5.306701273E10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128</v>
      </c>
      <c r="B32" s="3" t="s">
        <v>40</v>
      </c>
      <c r="C32" s="3" t="s">
        <v>75</v>
      </c>
      <c r="D32" s="3">
        <v>98199.0</v>
      </c>
      <c r="E32" s="3">
        <v>2021.0</v>
      </c>
      <c r="F32" s="3" t="s">
        <v>69</v>
      </c>
      <c r="G32" s="3" t="s">
        <v>126</v>
      </c>
      <c r="H32" s="3" t="s">
        <v>61</v>
      </c>
      <c r="I32" s="3" t="s">
        <v>89</v>
      </c>
      <c r="J32" s="3">
        <v>17.0</v>
      </c>
      <c r="K32" s="3">
        <v>0.0</v>
      </c>
      <c r="L32" s="3">
        <v>36.0</v>
      </c>
      <c r="M32" s="3">
        <v>1.32733793E8</v>
      </c>
      <c r="N32" s="3" t="s">
        <v>79</v>
      </c>
      <c r="O32" s="3" t="s">
        <v>56</v>
      </c>
      <c r="P32" s="3">
        <v>5.30330056E10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129</v>
      </c>
      <c r="B33" s="3" t="s">
        <v>49</v>
      </c>
      <c r="C33" s="3" t="s">
        <v>130</v>
      </c>
      <c r="D33" s="3">
        <v>98110.0</v>
      </c>
      <c r="E33" s="3">
        <v>2021.0</v>
      </c>
      <c r="F33" s="3" t="s">
        <v>131</v>
      </c>
      <c r="G33" s="3" t="s">
        <v>132</v>
      </c>
      <c r="H33" s="3" t="s">
        <v>61</v>
      </c>
      <c r="I33" s="3" t="s">
        <v>89</v>
      </c>
      <c r="J33" s="3">
        <v>18.0</v>
      </c>
      <c r="K33" s="3">
        <v>0.0</v>
      </c>
      <c r="L33" s="3">
        <v>23.0</v>
      </c>
      <c r="M33" s="3">
        <v>1.38397801E8</v>
      </c>
      <c r="N33" s="3" t="s">
        <v>133</v>
      </c>
      <c r="O33" s="3" t="s">
        <v>31</v>
      </c>
      <c r="P33" s="3">
        <v>5.3035091002E10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134</v>
      </c>
      <c r="B34" s="3" t="s">
        <v>33</v>
      </c>
      <c r="C34" s="3" t="s">
        <v>37</v>
      </c>
      <c r="D34" s="3">
        <v>98272.0</v>
      </c>
      <c r="E34" s="3">
        <v>2022.0</v>
      </c>
      <c r="F34" s="3" t="s">
        <v>131</v>
      </c>
      <c r="G34" s="3" t="s">
        <v>132</v>
      </c>
      <c r="H34" s="3" t="s">
        <v>61</v>
      </c>
      <c r="I34" s="3" t="s">
        <v>89</v>
      </c>
      <c r="J34" s="3">
        <v>18.0</v>
      </c>
      <c r="K34" s="3">
        <v>0.0</v>
      </c>
      <c r="L34" s="3">
        <v>39.0</v>
      </c>
      <c r="M34" s="3">
        <v>2.64543786E8</v>
      </c>
      <c r="N34" s="3" t="s">
        <v>38</v>
      </c>
      <c r="O34" s="3" t="s">
        <v>31</v>
      </c>
      <c r="P34" s="3">
        <v>5.3061052208E10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135</v>
      </c>
      <c r="B35" s="3" t="s">
        <v>119</v>
      </c>
      <c r="C35" s="3" t="s">
        <v>119</v>
      </c>
      <c r="D35" s="3">
        <v>98902.0</v>
      </c>
      <c r="E35" s="3">
        <v>2022.0</v>
      </c>
      <c r="F35" s="3" t="s">
        <v>28</v>
      </c>
      <c r="G35" s="3" t="s">
        <v>107</v>
      </c>
      <c r="H35" s="3" t="s">
        <v>21</v>
      </c>
      <c r="I35" s="3" t="s">
        <v>136</v>
      </c>
      <c r="J35" s="3">
        <v>0.0</v>
      </c>
      <c r="K35" s="3">
        <v>0.0</v>
      </c>
      <c r="L35" s="3">
        <v>15.0</v>
      </c>
      <c r="M35" s="3">
        <v>1.8572548E8</v>
      </c>
      <c r="N35" s="3" t="s">
        <v>122</v>
      </c>
      <c r="O35" s="3" t="s">
        <v>123</v>
      </c>
      <c r="P35" s="3">
        <v>5.3077000301E10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137</v>
      </c>
      <c r="B36" s="3" t="s">
        <v>33</v>
      </c>
      <c r="C36" s="3" t="s">
        <v>86</v>
      </c>
      <c r="D36" s="3">
        <v>98208.0</v>
      </c>
      <c r="E36" s="3">
        <v>2022.0</v>
      </c>
      <c r="F36" s="3" t="s">
        <v>19</v>
      </c>
      <c r="G36" s="3" t="s">
        <v>20</v>
      </c>
      <c r="H36" s="3" t="s">
        <v>21</v>
      </c>
      <c r="I36" s="3" t="s">
        <v>136</v>
      </c>
      <c r="J36" s="3">
        <v>0.0</v>
      </c>
      <c r="K36" s="3">
        <v>0.0</v>
      </c>
      <c r="L36" s="3">
        <v>21.0</v>
      </c>
      <c r="M36" s="3">
        <v>2.59974277E8</v>
      </c>
      <c r="N36" s="3" t="s">
        <v>90</v>
      </c>
      <c r="O36" s="3" t="s">
        <v>31</v>
      </c>
      <c r="P36" s="3">
        <v>5.3061041704E10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138</v>
      </c>
      <c r="B37" s="3" t="s">
        <v>119</v>
      </c>
      <c r="C37" s="3" t="s">
        <v>139</v>
      </c>
      <c r="D37" s="3">
        <v>98936.0</v>
      </c>
      <c r="E37" s="3">
        <v>2022.0</v>
      </c>
      <c r="F37" s="3" t="s">
        <v>140</v>
      </c>
      <c r="G37" s="3" t="s">
        <v>141</v>
      </c>
      <c r="H37" s="3" t="s">
        <v>61</v>
      </c>
      <c r="I37" s="3" t="s">
        <v>22</v>
      </c>
      <c r="J37" s="3">
        <v>38.0</v>
      </c>
      <c r="K37" s="3">
        <v>0.0</v>
      </c>
      <c r="L37" s="3">
        <v>15.0</v>
      </c>
      <c r="M37" s="3">
        <v>1.97264322E8</v>
      </c>
      <c r="N37" s="3" t="s">
        <v>142</v>
      </c>
      <c r="O37" s="3" t="s">
        <v>123</v>
      </c>
      <c r="P37" s="3">
        <v>5.3077001702E10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143</v>
      </c>
      <c r="B38" s="3" t="s">
        <v>26</v>
      </c>
      <c r="C38" s="3" t="s">
        <v>125</v>
      </c>
      <c r="D38" s="3">
        <v>98579.0</v>
      </c>
      <c r="E38" s="3">
        <v>2023.0</v>
      </c>
      <c r="F38" s="3" t="s">
        <v>140</v>
      </c>
      <c r="G38" s="3" t="s">
        <v>144</v>
      </c>
      <c r="H38" s="3" t="s">
        <v>21</v>
      </c>
      <c r="I38" s="3" t="s">
        <v>136</v>
      </c>
      <c r="J38" s="3">
        <v>0.0</v>
      </c>
      <c r="K38" s="3">
        <v>0.0</v>
      </c>
      <c r="L38" s="3">
        <v>20.0</v>
      </c>
      <c r="M38" s="3">
        <v>2.37709454E8</v>
      </c>
      <c r="N38" s="3" t="s">
        <v>127</v>
      </c>
      <c r="O38" s="3" t="s">
        <v>31</v>
      </c>
      <c r="P38" s="3">
        <v>5.306701271E10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145</v>
      </c>
      <c r="B39" s="3" t="s">
        <v>33</v>
      </c>
      <c r="C39" s="3" t="s">
        <v>37</v>
      </c>
      <c r="D39" s="3">
        <v>98272.0</v>
      </c>
      <c r="E39" s="3">
        <v>2023.0</v>
      </c>
      <c r="F39" s="3" t="s">
        <v>69</v>
      </c>
      <c r="G39" s="3" t="s">
        <v>146</v>
      </c>
      <c r="H39" s="3" t="s">
        <v>61</v>
      </c>
      <c r="I39" s="3" t="s">
        <v>22</v>
      </c>
      <c r="J39" s="3">
        <v>30.0</v>
      </c>
      <c r="K39" s="3">
        <v>0.0</v>
      </c>
      <c r="L39" s="3">
        <v>39.0</v>
      </c>
      <c r="M39" s="3">
        <v>2.35249262E8</v>
      </c>
      <c r="N39" s="3" t="s">
        <v>38</v>
      </c>
      <c r="O39" s="3" t="s">
        <v>31</v>
      </c>
      <c r="P39" s="3">
        <v>5.3061052203E10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147</v>
      </c>
      <c r="B40" s="3" t="s">
        <v>33</v>
      </c>
      <c r="C40" s="3" t="s">
        <v>37</v>
      </c>
      <c r="D40" s="3">
        <v>98272.0</v>
      </c>
      <c r="E40" s="3">
        <v>2023.0</v>
      </c>
      <c r="F40" s="3" t="s">
        <v>42</v>
      </c>
      <c r="G40" s="3" t="s">
        <v>148</v>
      </c>
      <c r="H40" s="3" t="s">
        <v>61</v>
      </c>
      <c r="I40" s="3" t="s">
        <v>22</v>
      </c>
      <c r="J40" s="3">
        <v>33.0</v>
      </c>
      <c r="K40" s="3">
        <v>0.0</v>
      </c>
      <c r="L40" s="3">
        <v>39.0</v>
      </c>
      <c r="M40" s="3">
        <v>2.54596093E8</v>
      </c>
      <c r="N40" s="3" t="s">
        <v>38</v>
      </c>
      <c r="O40" s="3" t="s">
        <v>31</v>
      </c>
      <c r="P40" s="3">
        <v>5.3061052203E10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149</v>
      </c>
      <c r="B41" s="3" t="s">
        <v>33</v>
      </c>
      <c r="C41" s="3" t="s">
        <v>86</v>
      </c>
      <c r="D41" s="3">
        <v>98204.0</v>
      </c>
      <c r="E41" s="3">
        <v>2024.0</v>
      </c>
      <c r="F41" s="3" t="s">
        <v>150</v>
      </c>
      <c r="G41" s="3" t="s">
        <v>151</v>
      </c>
      <c r="H41" s="3" t="s">
        <v>61</v>
      </c>
      <c r="I41" s="3" t="s">
        <v>89</v>
      </c>
      <c r="J41" s="3">
        <v>21.0</v>
      </c>
      <c r="K41" s="3">
        <v>0.0</v>
      </c>
      <c r="L41" s="3">
        <v>21.0</v>
      </c>
      <c r="M41" s="3">
        <v>2.61311557E8</v>
      </c>
      <c r="N41" s="3" t="s">
        <v>152</v>
      </c>
      <c r="O41" s="3" t="s">
        <v>31</v>
      </c>
      <c r="P41" s="3">
        <v>5.3061041809E10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headerFooter>
    <oddFooter>&amp;R000000Member ID and job number 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16.67"/>
    <col customWidth="1" min="3" max="6" width="10.78"/>
    <col customWidth="1" min="7" max="26" width="10.56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tr">
        <f t="array" ref="A4:A18">UNIQUE(Data!E:E)</f>
        <v>Model Year</v>
      </c>
      <c r="B4" s="2" t="s">
        <v>153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>
        <v>2012.0</v>
      </c>
      <c r="B5" s="2">
        <f t="array" ref="B5:B17">COUNTIF(Data!E:E,A5:A17)</f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>
        <v>2013.0</v>
      </c>
      <c r="B6" s="2">
        <v>1.0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>
        <v>2014.0</v>
      </c>
      <c r="B7" s="2">
        <v>1.0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>
        <v>2015.0</v>
      </c>
      <c r="B8" s="2">
        <v>1.0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>
        <v>2016.0</v>
      </c>
      <c r="B9" s="2">
        <v>4.0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>
        <v>2017.0</v>
      </c>
      <c r="B10" s="2">
        <v>4.0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>
        <v>2018.0</v>
      </c>
      <c r="B11" s="2">
        <v>7.0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>
        <v>2019.0</v>
      </c>
      <c r="B12" s="2">
        <v>4.0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>
        <v>2020.0</v>
      </c>
      <c r="B13" s="2">
        <v>5.0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>
        <v>2021.0</v>
      </c>
      <c r="B14" s="2">
        <v>4.0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>
        <v>2022.0</v>
      </c>
      <c r="B15" s="2">
        <v>4.0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>
        <v>2023.0</v>
      </c>
      <c r="B16" s="2">
        <v>3.0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>
        <v>2024.0</v>
      </c>
      <c r="B17" s="2">
        <v>1.0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headerFooter>
    <oddFooter>&amp;R000000Member ID and job number</oddFooter>
  </headerFooter>
  <drawing r:id="rId1"/>
</worksheet>
</file>