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nnifer Vines\Documents\bpa testing\2019\advanced spreadsheets\state advance\"/>
    </mc:Choice>
  </mc:AlternateContent>
  <bookViews>
    <workbookView xWindow="0" yWindow="0" windowWidth="10215" windowHeight="7080" firstSheet="2" activeTab="3"/>
  </bookViews>
  <sheets>
    <sheet name="function and formula view" sheetId="6" r:id="rId1"/>
    <sheet name="Summary Data" sheetId="5" r:id="rId2"/>
    <sheet name="Pivotablechart" sheetId="8" r:id="rId3"/>
    <sheet name="Equipment Data" sheetId="1" r:id="rId4"/>
  </sheets>
  <definedNames>
    <definedName name="_xlnm._FilterDatabase" localSheetId="3" hidden="1">'Equipment Data'!$A$2:$F$12</definedName>
    <definedName name="Advanced_Spreadsheet_Applications_S__text_file" localSheetId="3">'Equipment Data'!$A$13:$F$32</definedName>
    <definedName name="DataTable">'Equipment Data'!$A$2:$F$31</definedName>
    <definedName name="_xlnm.Print_Area" localSheetId="0">'function and formula view'!$A$1:$G$16</definedName>
    <definedName name="_xlnm.Print_Area" localSheetId="1">'Summary Data'!$A$1:$G$16</definedName>
  </definedNames>
  <calcPr calcId="152511"/>
  <pivotCaches>
    <pivotCache cacheId="11" r:id="rId5"/>
  </pivotCaches>
</workbook>
</file>

<file path=xl/calcChain.xml><?xml version="1.0" encoding="utf-8"?>
<calcChain xmlns="http://schemas.openxmlformats.org/spreadsheetml/2006/main">
  <c r="F14" i="6" l="1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6" i="5"/>
  <c r="F7" i="5"/>
  <c r="F8" i="5"/>
  <c r="F9" i="5"/>
  <c r="F10" i="5"/>
  <c r="F11" i="5"/>
  <c r="F12" i="5"/>
  <c r="F13" i="5"/>
  <c r="F14" i="5"/>
  <c r="E6" i="5"/>
  <c r="E7" i="5"/>
  <c r="E8" i="5"/>
  <c r="E16" i="5" s="1"/>
  <c r="E9" i="5"/>
  <c r="E10" i="5"/>
  <c r="E11" i="5"/>
  <c r="E12" i="5"/>
  <c r="E13" i="5"/>
  <c r="E14" i="5"/>
  <c r="D6" i="5"/>
  <c r="D7" i="5"/>
  <c r="D8" i="5"/>
  <c r="D9" i="5"/>
  <c r="D10" i="5"/>
  <c r="D11" i="5"/>
  <c r="D12" i="5"/>
  <c r="D13" i="5"/>
  <c r="D14" i="5"/>
  <c r="C6" i="5"/>
  <c r="C7" i="5"/>
  <c r="C8" i="5"/>
  <c r="C9" i="5"/>
  <c r="C10" i="5"/>
  <c r="C11" i="5"/>
  <c r="C12" i="5"/>
  <c r="C13" i="5"/>
  <c r="C14" i="5"/>
  <c r="B6" i="5"/>
  <c r="B7" i="5"/>
  <c r="B8" i="5"/>
  <c r="B9" i="5"/>
  <c r="B10" i="5"/>
  <c r="B11" i="5"/>
  <c r="B12" i="5"/>
  <c r="B13" i="5"/>
  <c r="B14" i="5"/>
  <c r="F5" i="5"/>
  <c r="E5" i="5"/>
  <c r="D5" i="5"/>
  <c r="C5" i="5"/>
  <c r="B5" i="5"/>
  <c r="E16" i="6" l="1"/>
</calcChain>
</file>

<file path=xl/connections.xml><?xml version="1.0" encoding="utf-8"?>
<connections xmlns="http://schemas.openxmlformats.org/spreadsheetml/2006/main">
  <connection id="1" name="Advanced_Spreadsheet_Applications_S_ text file" type="6" refreshedVersion="5" background="1" saveData="1">
    <textPr codePage="437" sourceFile="C:\Users\Jennifer Vines\Documents\bpa testing\2019\advanced spreadsheets\state advance\Advanced_Spreadsheet_Applications_S_ text file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<sst xmlns="http://schemas.openxmlformats.org/spreadsheetml/2006/main" count="119" uniqueCount="59">
  <si>
    <t>Laptop</t>
  </si>
  <si>
    <t>Projector</t>
  </si>
  <si>
    <t>Type</t>
  </si>
  <si>
    <t>By Whom</t>
  </si>
  <si>
    <t>Other</t>
  </si>
  <si>
    <t>10" Saris Netbook Pro</t>
  </si>
  <si>
    <t>15" EDI SmartPad L200-3</t>
  </si>
  <si>
    <t>15" EDI SmartPad L200-4X</t>
  </si>
  <si>
    <t>Saris Lux T-80</t>
  </si>
  <si>
    <t>Saris Lux T-81 Lite</t>
  </si>
  <si>
    <t>Omega VisX 1.0</t>
  </si>
  <si>
    <t>32" Paragon 440 Plasma TV</t>
  </si>
  <si>
    <t>EDI SmartBoard L500-1</t>
  </si>
  <si>
    <t>TV</t>
  </si>
  <si>
    <t>ID #</t>
  </si>
  <si>
    <t>August Zorn</t>
  </si>
  <si>
    <t>Jay Peralta</t>
  </si>
  <si>
    <t>Sofie Ragnar</t>
  </si>
  <si>
    <t>Anthony Liddell</t>
  </si>
  <si>
    <t>Nick Ortiz</t>
  </si>
  <si>
    <t>Marta Lao</t>
  </si>
  <si>
    <t>Saris Zoom Z-60 Digital Camera</t>
  </si>
  <si>
    <t>Jamila Kyle</t>
  </si>
  <si>
    <r>
      <t xml:space="preserve">Equipment Log </t>
    </r>
    <r>
      <rPr>
        <b/>
        <sz val="11"/>
        <color theme="0"/>
        <rFont val="Calibri"/>
        <family val="2"/>
      </rPr>
      <t>—</t>
    </r>
    <r>
      <rPr>
        <b/>
        <sz val="11"/>
        <color theme="0"/>
        <rFont val="Calibri"/>
        <family val="2"/>
        <scheme val="minor"/>
      </rPr>
      <t xml:space="preserve"> Ragnar Technologies Inc.</t>
    </r>
  </si>
  <si>
    <t>Carl Langer</t>
  </si>
  <si>
    <t>Jennifer Weiss</t>
  </si>
  <si>
    <t>17" Saris X-10 Laptop</t>
  </si>
  <si>
    <t>Checked Out</t>
  </si>
  <si>
    <t>Checked In</t>
  </si>
  <si>
    <t>Hank Sorenson</t>
  </si>
  <si>
    <t>Dean Sorenson</t>
  </si>
  <si>
    <t>Win Armitage</t>
  </si>
  <si>
    <t>Michael Earley</t>
  </si>
  <si>
    <t>Equipment Detail</t>
  </si>
  <si>
    <t>Min Seung</t>
  </si>
  <si>
    <t>Omega PixL Digital Camcorder</t>
  </si>
  <si>
    <t>50" Paragon 490L LCD TV</t>
  </si>
  <si>
    <t>Jolie Chaturvedi</t>
  </si>
  <si>
    <t>7N Light Rolling Laptop Case</t>
  </si>
  <si>
    <t>7N Heavy Rolling Laptop Case</t>
  </si>
  <si>
    <t>Saris Lumina Digital Camera</t>
  </si>
  <si>
    <t>Marques Herndon</t>
  </si>
  <si>
    <t>Stanley Geyer</t>
  </si>
  <si>
    <t>George D'Agosta</t>
  </si>
  <si>
    <t>U-Go Saris DigiCam Printer II</t>
  </si>
  <si>
    <t>U-Go Saris Label Maker</t>
  </si>
  <si>
    <t>7N Deluxe Camera Travel Bag</t>
  </si>
  <si>
    <t>Sela Shepard</t>
  </si>
  <si>
    <t>Margaret Lisbon</t>
  </si>
  <si>
    <t>Shannon Nguyen</t>
  </si>
  <si>
    <t>Clint Gosse</t>
  </si>
  <si>
    <t>Equipment ID</t>
  </si>
  <si>
    <t>Detail</t>
  </si>
  <si>
    <t>Number of items not checked in:</t>
  </si>
  <si>
    <t>Row Labels</t>
  </si>
  <si>
    <t>Grand Total</t>
  </si>
  <si>
    <t>Count of Equipment Detail</t>
  </si>
  <si>
    <t>Equipment Summary</t>
  </si>
  <si>
    <t>Number of items checked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</si>
</sst>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</cellStyleXfs>
  <cellXfs count="13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left"/>
    </xf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0" borderId="2" xfId="2" applyAlignment="1">
      <alignment horizontal="center"/>
    </xf>
    <xf numFmtId="0" fontId="5" fillId="0" borderId="1" xfId="1" applyAlignment="1">
      <alignment horizontal="center"/>
    </xf>
  </cellXfs>
  <cellStyles count="3">
    <cellStyle name="Heading 1" xfId="1" builtinId="16"/>
    <cellStyle name="Heading 2" xfId="2" builtinId="17"/>
    <cellStyle name="Normal" xfId="0" builtinId="0"/>
  </cellStyles>
  <dxfs count="12">
    <dxf>
      <numFmt numFmtId="0" formatCode="General"/>
    </dxf>
    <dxf>
      <numFmt numFmtId="19" formatCode="m/d/yyyy"/>
    </dxf>
    <dxf>
      <numFmt numFmtId="19" formatCode="m/d/yyyy"/>
    </dxf>
    <dxf>
      <alignment horizontal="left" vertical="bottom" textRotation="0" wrapText="0" indent="0" justifyLastLine="0" shrinkToFit="0" readingOrder="0"/>
    </dxf>
    <dxf>
      <fill>
        <patternFill patternType="darkHorizontal">
          <fgColor rgb="FFFF0000"/>
        </patternFill>
      </fill>
    </dxf>
    <dxf>
      <fill>
        <patternFill patternType="darkHorizontal">
          <fgColor rgb="FFFF0000"/>
        </patternFill>
      </fill>
    </dxf>
    <dxf>
      <font>
        <b/>
        <i val="0"/>
      </font>
      <fill>
        <gradientFill degree="45">
          <stop position="0">
            <color rgb="FFFFFF00"/>
          </stop>
          <stop position="1">
            <color rgb="FF92D050"/>
          </stop>
        </gradient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m/d/yyyy"/>
    </dxf>
    <dxf>
      <numFmt numFmtId="19" formatCode="m/d/yyyy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[state advance spreadsheet KEY JOB3.xlsx]Pivotablechart!PivotTable3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Equipment Type Totals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Pivotablechart!$B$3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Pivotablechart!$A$4:$A$8</c:f>
              <c:strCache>
                <c:ptCount val="4"/>
                <c:pt idx="0">
                  <c:v>Laptop</c:v>
                </c:pt>
                <c:pt idx="1">
                  <c:v>Other</c:v>
                </c:pt>
                <c:pt idx="2">
                  <c:v>Projector</c:v>
                </c:pt>
                <c:pt idx="3">
                  <c:v>TV</c:v>
                </c:pt>
              </c:strCache>
            </c:strRef>
          </c:cat>
          <c:val>
            <c:numRef>
              <c:f>Pivotablechart!$B$4:$B$8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34053136"/>
        <c:axId val="474815848"/>
      </c:barChart>
      <c:catAx>
        <c:axId val="23405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15848"/>
        <c:crosses val="autoZero"/>
        <c:auto val="1"/>
        <c:lblAlgn val="ctr"/>
        <c:lblOffset val="100"/>
        <c:noMultiLvlLbl val="0"/>
      </c:catAx>
      <c:valAx>
        <c:axId val="4748158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05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7</xdr:col>
      <xdr:colOff>571500</xdr:colOff>
      <xdr:row>27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ennifer Vines" refreshedDate="43657.841886805552" createdVersion="5" refreshedVersion="5" minRefreshableVersion="3" recordCount="29">
  <cacheSource type="worksheet">
    <worksheetSource ref="A2:F31" sheet="Equipment Data"/>
  </cacheSource>
  <cacheFields count="6">
    <cacheField name="ID #" numFmtId="0">
      <sharedItems containsSemiMixedTypes="0" containsString="0" containsNumber="1" containsInteger="1" minValue="1011" maxValue="6302"/>
    </cacheField>
    <cacheField name="Type" numFmtId="0">
      <sharedItems count="4">
        <s v="Laptop"/>
        <s v="Other"/>
        <s v="TV"/>
        <s v="Projector"/>
      </sharedItems>
    </cacheField>
    <cacheField name="Equipment Detail" numFmtId="0">
      <sharedItems count="18">
        <s v="10&quot; Saris Netbook Pro"/>
        <s v="15&quot; EDI SmartPad L200-3"/>
        <s v="15&quot; EDI SmartPad L200-4X"/>
        <s v="17&quot; Saris X-10 Laptop"/>
        <s v="EDI SmartBoard L500-1"/>
        <s v="Saris Lumina Digital Camera"/>
        <s v="Saris Zoom Z-60 Digital Camera"/>
        <s v="Omega PixL Digital Camcorder"/>
        <s v="U-Go Saris DigiCam Printer II"/>
        <s v="U-Go Saris Label Maker"/>
        <s v="7N Deluxe Camera Travel Bag"/>
        <s v="7N Light Rolling Laptop Case"/>
        <s v="7N Heavy Rolling Laptop Case"/>
        <s v="32&quot; Paragon 440 Plasma TV"/>
        <s v="50&quot; Paragon 490L LCD TV"/>
        <s v="Omega VisX 1.0"/>
        <s v="Saris Lux T-80"/>
        <s v="Saris Lux T-81 Lite"/>
      </sharedItems>
    </cacheField>
    <cacheField name="Checked Out" numFmtId="0">
      <sharedItems containsSemiMixedTypes="0" containsNonDate="0" containsDate="1" containsString="0" minDate="2018-05-12T00:00:00" maxDate="2018-10-07T00:00:00"/>
    </cacheField>
    <cacheField name="Checked In" numFmtId="0">
      <sharedItems containsNonDate="0" containsDate="1" containsString="0" containsBlank="1" minDate="2018-05-15T00:00:00" maxDate="2018-10-07T00:00:00"/>
    </cacheField>
    <cacheField name="By Who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n v="1011"/>
    <x v="0"/>
    <x v="0"/>
    <d v="2018-10-04T00:00:00"/>
    <m/>
    <s v="Jay Peralta"/>
  </r>
  <r>
    <n v="1012"/>
    <x v="0"/>
    <x v="0"/>
    <d v="2018-09-29T00:00:00"/>
    <m/>
    <s v="August Zorn"/>
  </r>
  <r>
    <n v="1021"/>
    <x v="0"/>
    <x v="1"/>
    <d v="2018-09-15T00:00:00"/>
    <d v="2018-10-01T00:00:00"/>
    <s v="Sofie Ragnar"/>
  </r>
  <r>
    <n v="1022"/>
    <x v="0"/>
    <x v="1"/>
    <d v="2018-08-14T00:00:00"/>
    <d v="2018-08-16T00:00:00"/>
    <s v="Hank Sorenson"/>
  </r>
  <r>
    <n v="1023"/>
    <x v="0"/>
    <x v="1"/>
    <d v="2018-08-08T00:00:00"/>
    <d v="2018-08-15T00:00:00"/>
    <s v="Jennifer Weiss"/>
  </r>
  <r>
    <n v="1025"/>
    <x v="0"/>
    <x v="2"/>
    <d v="2018-09-26T00:00:00"/>
    <d v="2018-10-04T00:00:00"/>
    <s v="Min Seung"/>
  </r>
  <r>
    <n v="1031"/>
    <x v="0"/>
    <x v="3"/>
    <d v="2018-10-04T00:00:00"/>
    <m/>
    <s v="Nick Ortiz"/>
  </r>
  <r>
    <n v="1032"/>
    <x v="0"/>
    <x v="3"/>
    <d v="2018-09-19T00:00:00"/>
    <m/>
    <s v="Stanley Geyer"/>
  </r>
  <r>
    <n v="1033"/>
    <x v="0"/>
    <x v="3"/>
    <d v="2018-09-24T00:00:00"/>
    <d v="2018-09-26T00:00:00"/>
    <s v="George D'Agosta"/>
  </r>
  <r>
    <n v="1034"/>
    <x v="0"/>
    <x v="3"/>
    <d v="2018-08-25T00:00:00"/>
    <d v="2018-08-27T00:00:00"/>
    <s v="Jay Peralta"/>
  </r>
  <r>
    <n v="2050"/>
    <x v="1"/>
    <x v="4"/>
    <d v="2018-10-05T00:00:00"/>
    <d v="2018-10-06T00:00:00"/>
    <s v="Anthony Liddell"/>
  </r>
  <r>
    <n v="2051"/>
    <x v="1"/>
    <x v="4"/>
    <d v="2018-10-01T00:00:00"/>
    <d v="2018-10-05T00:00:00"/>
    <s v="Sofie Ragnar"/>
  </r>
  <r>
    <n v="3000"/>
    <x v="1"/>
    <x v="5"/>
    <d v="2018-05-12T00:00:00"/>
    <d v="2018-05-15T00:00:00"/>
    <s v="Shannon Nguyen"/>
  </r>
  <r>
    <n v="3005"/>
    <x v="1"/>
    <x v="6"/>
    <d v="2018-07-27T00:00:00"/>
    <d v="2018-08-06T00:00:00"/>
    <s v="Sela Shepard"/>
  </r>
  <r>
    <n v="3070"/>
    <x v="1"/>
    <x v="7"/>
    <d v="2018-10-06T00:00:00"/>
    <m/>
    <s v="Min Seung"/>
  </r>
  <r>
    <n v="3800"/>
    <x v="1"/>
    <x v="8"/>
    <d v="2018-08-04T00:00:00"/>
    <d v="2018-08-05T00:00:00"/>
    <s v="Hank Sorenson"/>
  </r>
  <r>
    <n v="3900"/>
    <x v="1"/>
    <x v="9"/>
    <d v="2018-06-13T00:00:00"/>
    <d v="2018-06-20T00:00:00"/>
    <s v="Clint Gosse"/>
  </r>
  <r>
    <n v="4800"/>
    <x v="1"/>
    <x v="10"/>
    <d v="2018-07-27T00:00:00"/>
    <d v="2018-08-06T00:00:00"/>
    <s v="Sela Shepard"/>
  </r>
  <r>
    <n v="4900"/>
    <x v="1"/>
    <x v="11"/>
    <d v="2018-10-04T00:00:00"/>
    <m/>
    <s v="Jay Peralta"/>
  </r>
  <r>
    <n v="4905"/>
    <x v="1"/>
    <x v="12"/>
    <d v="2018-10-04T00:00:00"/>
    <m/>
    <s v="Nick Ortiz"/>
  </r>
  <r>
    <n v="5020"/>
    <x v="2"/>
    <x v="13"/>
    <d v="2018-08-11T00:00:00"/>
    <d v="2018-08-13T00:00:00"/>
    <s v="Marta Lao"/>
  </r>
  <r>
    <n v="5022"/>
    <x v="2"/>
    <x v="13"/>
    <d v="2018-07-17T00:00:00"/>
    <d v="2018-07-17T00:00:00"/>
    <s v="Carl Langer"/>
  </r>
  <r>
    <n v="5023"/>
    <x v="2"/>
    <x v="14"/>
    <d v="2018-10-01T00:00:00"/>
    <d v="2018-10-01T00:00:00"/>
    <s v="Margaret Lisbon"/>
  </r>
  <r>
    <n v="6100"/>
    <x v="3"/>
    <x v="15"/>
    <d v="2018-09-28T00:00:00"/>
    <d v="2018-10-01T00:00:00"/>
    <s v="Win Armitage"/>
  </r>
  <r>
    <n v="6101"/>
    <x v="3"/>
    <x v="15"/>
    <d v="2018-09-26T00:00:00"/>
    <d v="2018-09-27T00:00:00"/>
    <s v="Michael Earley"/>
  </r>
  <r>
    <n v="6102"/>
    <x v="3"/>
    <x v="15"/>
    <d v="2018-08-22T00:00:00"/>
    <d v="2018-08-23T00:00:00"/>
    <s v="Jamila Kyle"/>
  </r>
  <r>
    <n v="6200"/>
    <x v="3"/>
    <x v="16"/>
    <d v="2018-09-01T00:00:00"/>
    <d v="2018-09-04T00:00:00"/>
    <s v="Jolie Chaturvedi"/>
  </r>
  <r>
    <n v="6301"/>
    <x v="3"/>
    <x v="17"/>
    <d v="2018-09-10T00:00:00"/>
    <m/>
    <s v="Marques Herndon"/>
  </r>
  <r>
    <n v="6302"/>
    <x v="3"/>
    <x v="17"/>
    <d v="2018-09-08T00:00:00"/>
    <d v="2018-09-15T00:00:00"/>
    <s v="Dean Sorens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8" firstHeaderRow="1" firstDataRow="1" firstDataCol="1"/>
  <pivotFields count="6">
    <pivotField showAll="0"/>
    <pivotField axis="axisRow" showAll="0">
      <items count="5">
        <item x="0"/>
        <item x="1"/>
        <item x="3"/>
        <item x="2"/>
        <item t="default"/>
      </items>
    </pivotField>
    <pivotField dataField="1" showAll="0">
      <items count="19">
        <item x="0"/>
        <item x="1"/>
        <item x="2"/>
        <item x="3"/>
        <item x="13"/>
        <item x="14"/>
        <item x="10"/>
        <item x="12"/>
        <item x="11"/>
        <item x="4"/>
        <item x="7"/>
        <item x="15"/>
        <item x="5"/>
        <item x="16"/>
        <item x="17"/>
        <item x="6"/>
        <item x="8"/>
        <item x="9"/>
        <item t="default"/>
      </items>
    </pivotField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quipment Detail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Advanced_Spreadsheet_Applications_S_ text file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2" name="Table13" displayName="Table13" ref="A4:F14" totalsRowShown="0">
  <autoFilter ref="A4:F14"/>
  <tableColumns count="6">
    <tableColumn id="1" name="Equipment ID" dataDxfId="3"/>
    <tableColumn id="2" name="Type">
      <calculatedColumnFormula>VLOOKUP($A5,DataTable,2,0)</calculatedColumnFormula>
    </tableColumn>
    <tableColumn id="3" name="Detail">
      <calculatedColumnFormula>VLOOKUP($A5,DataTable,3)</calculatedColumnFormula>
    </tableColumn>
    <tableColumn id="4" name="Checked Out" dataDxfId="2">
      <calculatedColumnFormula>VLOOKUP($A5,DataTable,4)</calculatedColumnFormula>
    </tableColumn>
    <tableColumn id="5" name="Checked In" dataDxfId="1">
      <calculatedColumnFormula>IF(LEN(VLOOKUP($A5,DataTable,5))=0,"  ",VLOOKUP($A5,DataTable,5))</calculatedColumnFormula>
    </tableColumn>
    <tableColumn id="6" name="By Whom" dataDxfId="0">
      <calculatedColumnFormula>VLOOKUP($A5,DataTable,6)</calculatedColumnFormula>
    </tableColumn>
  </tableColumns>
  <tableStyleInfo name="TableStyleLight2" showFirstColumn="0" showLastColumn="1" showRowStripes="1" showColumnStripes="0"/>
</table>
</file>

<file path=xl/tables/table2.xml><?xml version="1.0" encoding="utf-8"?>
<table xmlns="http://schemas.openxmlformats.org/spreadsheetml/2006/main" id="1" name="Table1" displayName="Table1" ref="A4:F14" totalsRowShown="0">
  <autoFilter ref="A4:F14"/>
  <tableColumns count="6">
    <tableColumn id="1" name="Equipment ID" dataDxfId="11"/>
    <tableColumn id="2" name="Type">
      <calculatedColumnFormula>VLOOKUP($A5,DataTable,2,0)</calculatedColumnFormula>
    </tableColumn>
    <tableColumn id="3" name="Detail">
      <calculatedColumnFormula>VLOOKUP($A5,DataTable,3)</calculatedColumnFormula>
    </tableColumn>
    <tableColumn id="4" name="Checked Out" dataDxfId="10">
      <calculatedColumnFormula>VLOOKUP($A5,DataTable,4)</calculatedColumnFormula>
    </tableColumn>
    <tableColumn id="5" name="Checked In" dataDxfId="9">
      <calculatedColumnFormula>IF(LEN(VLOOKUP($A5,DataTable,5))=0,"  ",VLOOKUP($A5,DataTable,5))</calculatedColumnFormula>
    </tableColumn>
    <tableColumn id="6" name="By Whom" dataDxfId="8">
      <calculatedColumnFormula>VLOOKUP($A5,DataTable,6)</calculatedColumnFormula>
    </tableColumn>
  </tableColumns>
  <tableStyleInfo name="TableStyleLight2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Technic">
      <a:dk1>
        <a:sysClr val="windowText" lastClr="000000"/>
      </a:dk1>
      <a:lt1>
        <a:sysClr val="window" lastClr="FFFFFF"/>
      </a:lt1>
      <a:dk2>
        <a:srgbClr val="3B3B3B"/>
      </a:dk2>
      <a:lt2>
        <a:srgbClr val="D4D2D0"/>
      </a:lt2>
      <a:accent1>
        <a:srgbClr val="6EA0B0"/>
      </a:accent1>
      <a:accent2>
        <a:srgbClr val="CCAF0A"/>
      </a:accent2>
      <a:accent3>
        <a:srgbClr val="8D89A4"/>
      </a:accent3>
      <a:accent4>
        <a:srgbClr val="748560"/>
      </a:accent4>
      <a:accent5>
        <a:srgbClr val="9E9273"/>
      </a:accent5>
      <a:accent6>
        <a:srgbClr val="7E848D"/>
      </a:accent6>
      <a:hlink>
        <a:srgbClr val="00C8C3"/>
      </a:hlink>
      <a:folHlink>
        <a:srgbClr val="A116E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showFormulas="1" workbookViewId="0">
      <selection activeCell="C19" sqref="C19"/>
    </sheetView>
  </sheetViews>
  <sheetFormatPr defaultRowHeight="15" x14ac:dyDescent="0.25"/>
  <cols>
    <col min="1" max="1" width="15.140625" customWidth="1"/>
    <col min="3" max="3" width="25.140625" customWidth="1"/>
    <col min="4" max="4" width="14.42578125" customWidth="1"/>
    <col min="5" max="5" width="12.85546875" customWidth="1"/>
    <col min="6" max="6" width="11.5703125" customWidth="1"/>
  </cols>
  <sheetData>
    <row r="1" spans="1:7" ht="20.25" thickBot="1" x14ac:dyDescent="0.35">
      <c r="A1" s="12" t="s">
        <v>57</v>
      </c>
      <c r="B1" s="12"/>
      <c r="C1" s="12"/>
      <c r="D1" s="12"/>
      <c r="E1" s="12"/>
      <c r="F1" s="12"/>
      <c r="G1" s="12"/>
    </row>
    <row r="2" spans="1:7" ht="18.75" thickTop="1" thickBot="1" x14ac:dyDescent="0.35">
      <c r="A2" s="11" t="s">
        <v>58</v>
      </c>
      <c r="B2" s="11"/>
      <c r="C2" s="11"/>
      <c r="D2" s="11"/>
      <c r="E2" s="11"/>
      <c r="F2" s="11"/>
      <c r="G2" s="11"/>
    </row>
    <row r="3" spans="1:7" ht="15.75" thickTop="1" x14ac:dyDescent="0.25"/>
    <row r="4" spans="1:7" x14ac:dyDescent="0.25">
      <c r="A4" t="s">
        <v>51</v>
      </c>
      <c r="B4" t="s">
        <v>2</v>
      </c>
      <c r="C4" t="s">
        <v>52</v>
      </c>
      <c r="D4" s="6" t="s">
        <v>27</v>
      </c>
      <c r="E4" t="s">
        <v>28</v>
      </c>
      <c r="F4" t="s">
        <v>3</v>
      </c>
    </row>
    <row r="5" spans="1:7" x14ac:dyDescent="0.25">
      <c r="A5" s="10">
        <v>1011</v>
      </c>
      <c r="B5" t="str">
        <f t="shared" ref="B5:B14" si="0">VLOOKUP($A5,DataTable,2,0)</f>
        <v>Laptop</v>
      </c>
      <c r="C5" t="str">
        <f t="shared" ref="C5:C14" si="1">VLOOKUP($A5,DataTable,3)</f>
        <v>10" Saris Netbook Pro</v>
      </c>
      <c r="D5" s="6">
        <f t="shared" ref="D5:D14" si="2">VLOOKUP($A5,DataTable,4)</f>
        <v>43377</v>
      </c>
      <c r="E5" s="6" t="str">
        <f t="shared" ref="E5:E14" si="3">IF(LEN(VLOOKUP($A5,DataTable,5))=0,"  ",VLOOKUP($A5,DataTable,5))</f>
        <v xml:space="preserve">  </v>
      </c>
      <c r="F5" s="7" t="str">
        <f t="shared" ref="F5:F14" si="4">VLOOKUP($A5,DataTable,6)</f>
        <v>Jay Peralta</v>
      </c>
    </row>
    <row r="6" spans="1:7" x14ac:dyDescent="0.25">
      <c r="A6" s="10">
        <v>1012</v>
      </c>
      <c r="B6" t="str">
        <f t="shared" si="0"/>
        <v>Laptop</v>
      </c>
      <c r="C6" t="str">
        <f t="shared" si="1"/>
        <v>10" Saris Netbook Pro</v>
      </c>
      <c r="D6" s="6">
        <f t="shared" si="2"/>
        <v>43372</v>
      </c>
      <c r="E6" s="6" t="str">
        <f t="shared" si="3"/>
        <v xml:space="preserve">  </v>
      </c>
      <c r="F6" s="7" t="str">
        <f t="shared" si="4"/>
        <v>August Zorn</v>
      </c>
    </row>
    <row r="7" spans="1:7" x14ac:dyDescent="0.25">
      <c r="A7" s="10">
        <v>1021</v>
      </c>
      <c r="B7" t="str">
        <f t="shared" si="0"/>
        <v>Laptop</v>
      </c>
      <c r="C7" t="str">
        <f t="shared" si="1"/>
        <v>15" EDI SmartPad L200-3</v>
      </c>
      <c r="D7" s="6">
        <f t="shared" si="2"/>
        <v>43358</v>
      </c>
      <c r="E7" s="6">
        <f t="shared" si="3"/>
        <v>43374</v>
      </c>
      <c r="F7" s="7" t="str">
        <f t="shared" si="4"/>
        <v>Sofie Ragnar</v>
      </c>
    </row>
    <row r="8" spans="1:7" x14ac:dyDescent="0.25">
      <c r="A8" s="10">
        <v>1022</v>
      </c>
      <c r="B8" t="str">
        <f t="shared" si="0"/>
        <v>Laptop</v>
      </c>
      <c r="C8" t="str">
        <f t="shared" si="1"/>
        <v>15" EDI SmartPad L200-3</v>
      </c>
      <c r="D8" s="6">
        <f t="shared" si="2"/>
        <v>43326</v>
      </c>
      <c r="E8" s="6">
        <f t="shared" si="3"/>
        <v>43328</v>
      </c>
      <c r="F8" s="7" t="str">
        <f t="shared" si="4"/>
        <v>Hank Sorenson</v>
      </c>
    </row>
    <row r="9" spans="1:7" x14ac:dyDescent="0.25">
      <c r="A9" s="10">
        <v>1023</v>
      </c>
      <c r="B9" t="str">
        <f t="shared" si="0"/>
        <v>Laptop</v>
      </c>
      <c r="C9" t="str">
        <f t="shared" si="1"/>
        <v>15" EDI SmartPad L200-3</v>
      </c>
      <c r="D9" s="6">
        <f t="shared" si="2"/>
        <v>43320</v>
      </c>
      <c r="E9" s="6">
        <f t="shared" si="3"/>
        <v>43327</v>
      </c>
      <c r="F9" s="7" t="str">
        <f t="shared" si="4"/>
        <v>Jennifer Weiss</v>
      </c>
    </row>
    <row r="10" spans="1:7" x14ac:dyDescent="0.25">
      <c r="A10" s="10">
        <v>1025</v>
      </c>
      <c r="B10" t="str">
        <f t="shared" si="0"/>
        <v>Laptop</v>
      </c>
      <c r="C10" t="str">
        <f t="shared" si="1"/>
        <v>15" EDI SmartPad L200-4X</v>
      </c>
      <c r="D10" s="6">
        <f t="shared" si="2"/>
        <v>43369</v>
      </c>
      <c r="E10" s="6">
        <f t="shared" si="3"/>
        <v>43377</v>
      </c>
      <c r="F10" s="7" t="str">
        <f t="shared" si="4"/>
        <v>Min Seung</v>
      </c>
    </row>
    <row r="11" spans="1:7" x14ac:dyDescent="0.25">
      <c r="A11" s="10">
        <v>1031</v>
      </c>
      <c r="B11" t="str">
        <f t="shared" si="0"/>
        <v>Laptop</v>
      </c>
      <c r="C11" t="str">
        <f t="shared" si="1"/>
        <v>17" Saris X-10 Laptop</v>
      </c>
      <c r="D11" s="6">
        <f t="shared" si="2"/>
        <v>43377</v>
      </c>
      <c r="E11" s="6" t="str">
        <f t="shared" si="3"/>
        <v xml:space="preserve">  </v>
      </c>
      <c r="F11" s="7" t="str">
        <f t="shared" si="4"/>
        <v>Nick Ortiz</v>
      </c>
    </row>
    <row r="12" spans="1:7" x14ac:dyDescent="0.25">
      <c r="A12" s="10">
        <v>1032</v>
      </c>
      <c r="B12" t="str">
        <f t="shared" si="0"/>
        <v>Laptop</v>
      </c>
      <c r="C12" t="str">
        <f t="shared" si="1"/>
        <v>17" Saris X-10 Laptop</v>
      </c>
      <c r="D12" s="6">
        <f t="shared" si="2"/>
        <v>43362</v>
      </c>
      <c r="E12" s="6" t="str">
        <f t="shared" si="3"/>
        <v xml:space="preserve">  </v>
      </c>
      <c r="F12" s="7" t="str">
        <f t="shared" si="4"/>
        <v>Stanley Geyer</v>
      </c>
    </row>
    <row r="13" spans="1:7" x14ac:dyDescent="0.25">
      <c r="A13" s="10">
        <v>1033</v>
      </c>
      <c r="B13" t="str">
        <f t="shared" si="0"/>
        <v>Laptop</v>
      </c>
      <c r="C13" t="str">
        <f t="shared" si="1"/>
        <v>17" Saris X-10 Laptop</v>
      </c>
      <c r="D13" s="6">
        <f t="shared" si="2"/>
        <v>43367</v>
      </c>
      <c r="E13" s="6">
        <f t="shared" si="3"/>
        <v>43369</v>
      </c>
      <c r="F13" s="7" t="str">
        <f t="shared" si="4"/>
        <v>George D'Agosta</v>
      </c>
    </row>
    <row r="14" spans="1:7" x14ac:dyDescent="0.25">
      <c r="A14" s="10">
        <v>1034</v>
      </c>
      <c r="B14" t="str">
        <f t="shared" si="0"/>
        <v>Laptop</v>
      </c>
      <c r="C14" t="str">
        <f t="shared" si="1"/>
        <v>17" Saris X-10 Laptop</v>
      </c>
      <c r="D14" s="6">
        <f t="shared" si="2"/>
        <v>43337</v>
      </c>
      <c r="E14" s="6">
        <f t="shared" si="3"/>
        <v>43339</v>
      </c>
      <c r="F14" s="7" t="str">
        <f t="shared" si="4"/>
        <v>Jay Peralta</v>
      </c>
    </row>
    <row r="16" spans="1:7" x14ac:dyDescent="0.25">
      <c r="C16" t="s">
        <v>53</v>
      </c>
      <c r="E16" s="8">
        <f>COUNT(E5:E14)</f>
        <v>6</v>
      </c>
    </row>
  </sheetData>
  <mergeCells count="2">
    <mergeCell ref="A1:G1"/>
    <mergeCell ref="A2:G2"/>
  </mergeCells>
  <conditionalFormatting sqref="E5:E14">
    <cfRule type="containsBlanks" dxfId="4" priority="1">
      <formula>LEN(TRIM(E5))=0</formula>
    </cfRule>
  </conditionalFormatting>
  <printOptions horizontalCentered="1" verticalCentered="1"/>
  <pageMargins left="0.7" right="0.7" top="0.75" bottom="0.75" header="0.3" footer="0.3"/>
  <pageSetup orientation="landscape" blackAndWhite="1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selection activeCell="C19" sqref="C19"/>
    </sheetView>
  </sheetViews>
  <sheetFormatPr defaultRowHeight="15" x14ac:dyDescent="0.25"/>
  <cols>
    <col min="1" max="1" width="15.140625" customWidth="1"/>
    <col min="3" max="3" width="25.140625" customWidth="1"/>
    <col min="4" max="4" width="14.42578125" customWidth="1"/>
    <col min="5" max="5" width="12.85546875" customWidth="1"/>
    <col min="6" max="6" width="11.5703125" customWidth="1"/>
  </cols>
  <sheetData>
    <row r="1" spans="1:7" ht="20.25" thickBot="1" x14ac:dyDescent="0.35">
      <c r="A1" s="12" t="s">
        <v>57</v>
      </c>
      <c r="B1" s="12"/>
      <c r="C1" s="12"/>
      <c r="D1" s="12"/>
      <c r="E1" s="12"/>
      <c r="F1" s="12"/>
      <c r="G1" s="12"/>
    </row>
    <row r="2" spans="1:7" ht="18.75" thickTop="1" thickBot="1" x14ac:dyDescent="0.35">
      <c r="A2" s="11" t="s">
        <v>58</v>
      </c>
      <c r="B2" s="11"/>
      <c r="C2" s="11"/>
      <c r="D2" s="11"/>
      <c r="E2" s="11"/>
      <c r="F2" s="11"/>
      <c r="G2" s="11"/>
    </row>
    <row r="3" spans="1:7" ht="15.75" thickTop="1" x14ac:dyDescent="0.25"/>
    <row r="4" spans="1:7" x14ac:dyDescent="0.25">
      <c r="A4" t="s">
        <v>51</v>
      </c>
      <c r="B4" t="s">
        <v>2</v>
      </c>
      <c r="C4" t="s">
        <v>52</v>
      </c>
      <c r="D4" s="6" t="s">
        <v>27</v>
      </c>
      <c r="E4" t="s">
        <v>28</v>
      </c>
      <c r="F4" t="s">
        <v>3</v>
      </c>
    </row>
    <row r="5" spans="1:7" x14ac:dyDescent="0.25">
      <c r="A5" s="10">
        <v>1011</v>
      </c>
      <c r="B5" t="str">
        <f t="shared" ref="B5:B14" si="0">VLOOKUP($A5,DataTable,2,0)</f>
        <v>Laptop</v>
      </c>
      <c r="C5" t="str">
        <f t="shared" ref="C5:C14" si="1">VLOOKUP($A5,DataTable,3)</f>
        <v>10" Saris Netbook Pro</v>
      </c>
      <c r="D5" s="6">
        <f t="shared" ref="D5:D14" si="2">VLOOKUP($A5,DataTable,4)</f>
        <v>43377</v>
      </c>
      <c r="E5" s="6" t="str">
        <f t="shared" ref="E5:E14" si="3">IF(LEN(VLOOKUP($A5,DataTable,5))=0,"  ",VLOOKUP($A5,DataTable,5))</f>
        <v xml:space="preserve">  </v>
      </c>
      <c r="F5" s="7" t="str">
        <f t="shared" ref="F5:F14" si="4">VLOOKUP($A5,DataTable,6)</f>
        <v>Jay Peralta</v>
      </c>
    </row>
    <row r="6" spans="1:7" x14ac:dyDescent="0.25">
      <c r="A6" s="10">
        <v>1012</v>
      </c>
      <c r="B6" t="str">
        <f t="shared" si="0"/>
        <v>Laptop</v>
      </c>
      <c r="C6" t="str">
        <f t="shared" si="1"/>
        <v>10" Saris Netbook Pro</v>
      </c>
      <c r="D6" s="6">
        <f t="shared" si="2"/>
        <v>43372</v>
      </c>
      <c r="E6" s="6" t="str">
        <f t="shared" si="3"/>
        <v xml:space="preserve">  </v>
      </c>
      <c r="F6" s="7" t="str">
        <f t="shared" si="4"/>
        <v>August Zorn</v>
      </c>
    </row>
    <row r="7" spans="1:7" x14ac:dyDescent="0.25">
      <c r="A7" s="10">
        <v>1021</v>
      </c>
      <c r="B7" t="str">
        <f t="shared" si="0"/>
        <v>Laptop</v>
      </c>
      <c r="C7" t="str">
        <f t="shared" si="1"/>
        <v>15" EDI SmartPad L200-3</v>
      </c>
      <c r="D7" s="6">
        <f t="shared" si="2"/>
        <v>43358</v>
      </c>
      <c r="E7" s="6">
        <f t="shared" si="3"/>
        <v>43374</v>
      </c>
      <c r="F7" s="7" t="str">
        <f t="shared" si="4"/>
        <v>Sofie Ragnar</v>
      </c>
    </row>
    <row r="8" spans="1:7" x14ac:dyDescent="0.25">
      <c r="A8" s="10">
        <v>1022</v>
      </c>
      <c r="B8" t="str">
        <f t="shared" si="0"/>
        <v>Laptop</v>
      </c>
      <c r="C8" t="str">
        <f t="shared" si="1"/>
        <v>15" EDI SmartPad L200-3</v>
      </c>
      <c r="D8" s="6">
        <f t="shared" si="2"/>
        <v>43326</v>
      </c>
      <c r="E8" s="6">
        <f t="shared" si="3"/>
        <v>43328</v>
      </c>
      <c r="F8" s="7" t="str">
        <f t="shared" si="4"/>
        <v>Hank Sorenson</v>
      </c>
    </row>
    <row r="9" spans="1:7" x14ac:dyDescent="0.25">
      <c r="A9" s="10">
        <v>1023</v>
      </c>
      <c r="B9" t="str">
        <f t="shared" si="0"/>
        <v>Laptop</v>
      </c>
      <c r="C9" t="str">
        <f t="shared" si="1"/>
        <v>15" EDI SmartPad L200-3</v>
      </c>
      <c r="D9" s="6">
        <f t="shared" si="2"/>
        <v>43320</v>
      </c>
      <c r="E9" s="6">
        <f t="shared" si="3"/>
        <v>43327</v>
      </c>
      <c r="F9" s="7" t="str">
        <f t="shared" si="4"/>
        <v>Jennifer Weiss</v>
      </c>
    </row>
    <row r="10" spans="1:7" x14ac:dyDescent="0.25">
      <c r="A10" s="10">
        <v>1025</v>
      </c>
      <c r="B10" t="str">
        <f t="shared" si="0"/>
        <v>Laptop</v>
      </c>
      <c r="C10" t="str">
        <f t="shared" si="1"/>
        <v>15" EDI SmartPad L200-4X</v>
      </c>
      <c r="D10" s="6">
        <f t="shared" si="2"/>
        <v>43369</v>
      </c>
      <c r="E10" s="6">
        <f t="shared" si="3"/>
        <v>43377</v>
      </c>
      <c r="F10" s="7" t="str">
        <f t="shared" si="4"/>
        <v>Min Seung</v>
      </c>
    </row>
    <row r="11" spans="1:7" x14ac:dyDescent="0.25">
      <c r="A11" s="10">
        <v>1031</v>
      </c>
      <c r="B11" t="str">
        <f t="shared" si="0"/>
        <v>Laptop</v>
      </c>
      <c r="C11" t="str">
        <f t="shared" si="1"/>
        <v>17" Saris X-10 Laptop</v>
      </c>
      <c r="D11" s="6">
        <f t="shared" si="2"/>
        <v>43377</v>
      </c>
      <c r="E11" s="6" t="str">
        <f t="shared" si="3"/>
        <v xml:space="preserve">  </v>
      </c>
      <c r="F11" s="7" t="str">
        <f t="shared" si="4"/>
        <v>Nick Ortiz</v>
      </c>
    </row>
    <row r="12" spans="1:7" x14ac:dyDescent="0.25">
      <c r="A12" s="10">
        <v>1032</v>
      </c>
      <c r="B12" t="str">
        <f t="shared" si="0"/>
        <v>Laptop</v>
      </c>
      <c r="C12" t="str">
        <f t="shared" si="1"/>
        <v>17" Saris X-10 Laptop</v>
      </c>
      <c r="D12" s="6">
        <f t="shared" si="2"/>
        <v>43362</v>
      </c>
      <c r="E12" s="6" t="str">
        <f t="shared" si="3"/>
        <v xml:space="preserve">  </v>
      </c>
      <c r="F12" s="7" t="str">
        <f t="shared" si="4"/>
        <v>Stanley Geyer</v>
      </c>
    </row>
    <row r="13" spans="1:7" x14ac:dyDescent="0.25">
      <c r="A13" s="10">
        <v>1033</v>
      </c>
      <c r="B13" t="str">
        <f t="shared" si="0"/>
        <v>Laptop</v>
      </c>
      <c r="C13" t="str">
        <f t="shared" si="1"/>
        <v>17" Saris X-10 Laptop</v>
      </c>
      <c r="D13" s="6">
        <f t="shared" si="2"/>
        <v>43367</v>
      </c>
      <c r="E13" s="6">
        <f t="shared" si="3"/>
        <v>43369</v>
      </c>
      <c r="F13" s="7" t="str">
        <f t="shared" si="4"/>
        <v>George D'Agosta</v>
      </c>
    </row>
    <row r="14" spans="1:7" x14ac:dyDescent="0.25">
      <c r="A14" s="10">
        <v>1034</v>
      </c>
      <c r="B14" t="str">
        <f t="shared" si="0"/>
        <v>Laptop</v>
      </c>
      <c r="C14" t="str">
        <f t="shared" si="1"/>
        <v>17" Saris X-10 Laptop</v>
      </c>
      <c r="D14" s="6">
        <f t="shared" si="2"/>
        <v>43337</v>
      </c>
      <c r="E14" s="6">
        <f t="shared" si="3"/>
        <v>43339</v>
      </c>
      <c r="F14" s="7" t="str">
        <f t="shared" si="4"/>
        <v>Jay Peralta</v>
      </c>
    </row>
    <row r="16" spans="1:7" x14ac:dyDescent="0.25">
      <c r="C16" t="s">
        <v>53</v>
      </c>
      <c r="E16" s="8">
        <f>COUNT(E5:E14)</f>
        <v>6</v>
      </c>
    </row>
  </sheetData>
  <mergeCells count="2">
    <mergeCell ref="A1:G1"/>
    <mergeCell ref="A2:G2"/>
  </mergeCells>
  <conditionalFormatting sqref="E5:E14">
    <cfRule type="containsBlanks" dxfId="5" priority="1">
      <formula>LEN(TRIM(E5))=0</formula>
    </cfRule>
  </conditionalFormatting>
  <printOptions horizontalCentered="1" verticalCentered="1"/>
  <pageMargins left="0.7" right="0.7" top="0.75" bottom="0.75" header="0.3" footer="0.3"/>
  <pageSetup orientation="landscape" blackAndWhite="1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B8"/>
  <sheetViews>
    <sheetView topLeftCell="A13" workbookViewId="0">
      <selection activeCell="E31" sqref="E31"/>
    </sheetView>
  </sheetViews>
  <sheetFormatPr defaultRowHeight="15" x14ac:dyDescent="0.25"/>
  <cols>
    <col min="1" max="1" width="13.140625" customWidth="1"/>
    <col min="2" max="2" width="24.85546875" bestFit="1" customWidth="1"/>
  </cols>
  <sheetData>
    <row r="3" spans="1:2" x14ac:dyDescent="0.25">
      <c r="A3" s="9" t="s">
        <v>54</v>
      </c>
      <c r="B3" t="s">
        <v>56</v>
      </c>
    </row>
    <row r="4" spans="1:2" x14ac:dyDescent="0.25">
      <c r="A4" s="10" t="s">
        <v>0</v>
      </c>
      <c r="B4" s="7">
        <v>10</v>
      </c>
    </row>
    <row r="5" spans="1:2" x14ac:dyDescent="0.25">
      <c r="A5" s="10" t="s">
        <v>4</v>
      </c>
      <c r="B5" s="7">
        <v>10</v>
      </c>
    </row>
    <row r="6" spans="1:2" x14ac:dyDescent="0.25">
      <c r="A6" s="10" t="s">
        <v>1</v>
      </c>
      <c r="B6" s="7">
        <v>6</v>
      </c>
    </row>
    <row r="7" spans="1:2" x14ac:dyDescent="0.25">
      <c r="A7" s="10" t="s">
        <v>13</v>
      </c>
      <c r="B7" s="7">
        <v>3</v>
      </c>
    </row>
    <row r="8" spans="1:2" x14ac:dyDescent="0.25">
      <c r="A8" s="10" t="s">
        <v>55</v>
      </c>
      <c r="B8" s="7">
        <v>29</v>
      </c>
    </row>
  </sheetData>
  <printOptions horizontalCentered="1" verticalCentered="1"/>
  <pageMargins left="0.7" right="0.7" top="0.75" bottom="0.75" header="0.3" footer="0.3"/>
  <pageSetup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1"/>
  <sheetViews>
    <sheetView tabSelected="1" topLeftCell="A2" zoomScale="85" zoomScaleNormal="85" workbookViewId="0">
      <selection activeCell="A2" sqref="A2:F31"/>
    </sheetView>
  </sheetViews>
  <sheetFormatPr defaultRowHeight="15" x14ac:dyDescent="0.25"/>
  <cols>
    <col min="1" max="1" width="5.140625" style="2" customWidth="1"/>
    <col min="2" max="2" width="9.140625" style="1" customWidth="1"/>
    <col min="3" max="3" width="30.42578125" style="1" bestFit="1" customWidth="1"/>
    <col min="4" max="5" width="10.28515625" style="5" customWidth="1"/>
    <col min="6" max="6" width="18" style="1" customWidth="1"/>
    <col min="7" max="16384" width="9.140625" style="1"/>
  </cols>
  <sheetData>
    <row r="1" spans="1:6" s="3" customFormat="1" ht="16.5" customHeight="1" x14ac:dyDescent="0.25">
      <c r="A1" t="s">
        <v>23</v>
      </c>
      <c r="B1"/>
      <c r="C1"/>
      <c r="D1"/>
      <c r="E1"/>
      <c r="F1"/>
    </row>
    <row r="2" spans="1:6" s="4" customFormat="1" x14ac:dyDescent="0.25">
      <c r="A2" t="s">
        <v>14</v>
      </c>
      <c r="B2" t="s">
        <v>2</v>
      </c>
      <c r="C2" t="s">
        <v>33</v>
      </c>
      <c r="D2" t="s">
        <v>27</v>
      </c>
      <c r="E2" t="s">
        <v>28</v>
      </c>
      <c r="F2" t="s">
        <v>3</v>
      </c>
    </row>
    <row r="3" spans="1:6" ht="15.75" customHeight="1" x14ac:dyDescent="0.25">
      <c r="A3">
        <v>1011</v>
      </c>
      <c r="B3" t="s">
        <v>0</v>
      </c>
      <c r="C3" t="s">
        <v>5</v>
      </c>
      <c r="D3" s="6">
        <v>43377</v>
      </c>
      <c r="E3" s="6"/>
      <c r="F3" t="s">
        <v>16</v>
      </c>
    </row>
    <row r="4" spans="1:6" ht="15" customHeight="1" x14ac:dyDescent="0.25">
      <c r="A4">
        <v>1012</v>
      </c>
      <c r="B4" t="s">
        <v>0</v>
      </c>
      <c r="C4" t="s">
        <v>5</v>
      </c>
      <c r="D4" s="6">
        <v>43372</v>
      </c>
      <c r="E4" s="6"/>
      <c r="F4" t="s">
        <v>15</v>
      </c>
    </row>
    <row r="5" spans="1:6" ht="15" customHeight="1" x14ac:dyDescent="0.25">
      <c r="A5">
        <v>1021</v>
      </c>
      <c r="B5" t="s">
        <v>0</v>
      </c>
      <c r="C5" t="s">
        <v>6</v>
      </c>
      <c r="D5" s="6">
        <v>43358</v>
      </c>
      <c r="E5" s="6">
        <v>43374</v>
      </c>
      <c r="F5" t="s">
        <v>17</v>
      </c>
    </row>
    <row r="6" spans="1:6" ht="15" customHeight="1" x14ac:dyDescent="0.25">
      <c r="A6">
        <v>1022</v>
      </c>
      <c r="B6" t="s">
        <v>0</v>
      </c>
      <c r="C6" t="s">
        <v>6</v>
      </c>
      <c r="D6" s="6">
        <v>43326</v>
      </c>
      <c r="E6" s="6">
        <v>43328</v>
      </c>
      <c r="F6" t="s">
        <v>29</v>
      </c>
    </row>
    <row r="7" spans="1:6" ht="15" customHeight="1" x14ac:dyDescent="0.25">
      <c r="A7">
        <v>1023</v>
      </c>
      <c r="B7" t="s">
        <v>0</v>
      </c>
      <c r="C7" t="s">
        <v>6</v>
      </c>
      <c r="D7" s="6">
        <v>43320</v>
      </c>
      <c r="E7" s="6">
        <v>43327</v>
      </c>
      <c r="F7" t="s">
        <v>25</v>
      </c>
    </row>
    <row r="8" spans="1:6" ht="15" customHeight="1" x14ac:dyDescent="0.25">
      <c r="A8">
        <v>1025</v>
      </c>
      <c r="B8" t="s">
        <v>0</v>
      </c>
      <c r="C8" t="s">
        <v>7</v>
      </c>
      <c r="D8" s="6">
        <v>43369</v>
      </c>
      <c r="E8" s="6">
        <v>43377</v>
      </c>
      <c r="F8" t="s">
        <v>34</v>
      </c>
    </row>
    <row r="9" spans="1:6" ht="15" customHeight="1" x14ac:dyDescent="0.25">
      <c r="A9">
        <v>1031</v>
      </c>
      <c r="B9" t="s">
        <v>0</v>
      </c>
      <c r="C9" t="s">
        <v>26</v>
      </c>
      <c r="D9" s="6">
        <v>43377</v>
      </c>
      <c r="E9" s="6"/>
      <c r="F9" t="s">
        <v>19</v>
      </c>
    </row>
    <row r="10" spans="1:6" ht="15" customHeight="1" x14ac:dyDescent="0.25">
      <c r="A10">
        <v>1032</v>
      </c>
      <c r="B10" t="s">
        <v>0</v>
      </c>
      <c r="C10" t="s">
        <v>26</v>
      </c>
      <c r="D10" s="6">
        <v>43362</v>
      </c>
      <c r="E10" s="6"/>
      <c r="F10" t="s">
        <v>42</v>
      </c>
    </row>
    <row r="11" spans="1:6" ht="15" customHeight="1" x14ac:dyDescent="0.25">
      <c r="A11">
        <v>1033</v>
      </c>
      <c r="B11" t="s">
        <v>0</v>
      </c>
      <c r="C11" t="s">
        <v>26</v>
      </c>
      <c r="D11" s="6">
        <v>43367</v>
      </c>
      <c r="E11" s="6">
        <v>43369</v>
      </c>
      <c r="F11" t="s">
        <v>43</v>
      </c>
    </row>
    <row r="12" spans="1:6" ht="15" customHeight="1" x14ac:dyDescent="0.25">
      <c r="A12">
        <v>1034</v>
      </c>
      <c r="B12" t="s">
        <v>0</v>
      </c>
      <c r="C12" t="s">
        <v>26</v>
      </c>
      <c r="D12" s="6">
        <v>43337</v>
      </c>
      <c r="E12" s="6">
        <v>43339</v>
      </c>
      <c r="F12" t="s">
        <v>16</v>
      </c>
    </row>
    <row r="13" spans="1:6" x14ac:dyDescent="0.25">
      <c r="A13" s="2">
        <v>2050</v>
      </c>
      <c r="B13" s="1" t="s">
        <v>4</v>
      </c>
      <c r="C13" s="1" t="s">
        <v>12</v>
      </c>
      <c r="D13" s="5">
        <v>43378</v>
      </c>
      <c r="E13" s="5">
        <v>43379</v>
      </c>
      <c r="F13" s="1" t="s">
        <v>18</v>
      </c>
    </row>
    <row r="14" spans="1:6" x14ac:dyDescent="0.25">
      <c r="A14" s="2">
        <v>2051</v>
      </c>
      <c r="B14" s="1" t="s">
        <v>4</v>
      </c>
      <c r="C14" s="1" t="s">
        <v>12</v>
      </c>
      <c r="D14" s="5">
        <v>43374</v>
      </c>
      <c r="E14" s="5">
        <v>43378</v>
      </c>
      <c r="F14" s="1" t="s">
        <v>17</v>
      </c>
    </row>
    <row r="15" spans="1:6" x14ac:dyDescent="0.25">
      <c r="A15" s="2">
        <v>3000</v>
      </c>
      <c r="B15" s="1" t="s">
        <v>4</v>
      </c>
      <c r="C15" s="1" t="s">
        <v>40</v>
      </c>
      <c r="D15" s="5">
        <v>43232</v>
      </c>
      <c r="E15" s="5">
        <v>43235</v>
      </c>
      <c r="F15" s="1" t="s">
        <v>49</v>
      </c>
    </row>
    <row r="16" spans="1:6" x14ac:dyDescent="0.25">
      <c r="A16" s="2">
        <v>3005</v>
      </c>
      <c r="B16" s="1" t="s">
        <v>4</v>
      </c>
      <c r="C16" s="1" t="s">
        <v>21</v>
      </c>
      <c r="D16" s="5">
        <v>43308</v>
      </c>
      <c r="E16" s="5">
        <v>43318</v>
      </c>
      <c r="F16" s="1" t="s">
        <v>47</v>
      </c>
    </row>
    <row r="17" spans="1:6" x14ac:dyDescent="0.25">
      <c r="A17" s="2">
        <v>3070</v>
      </c>
      <c r="B17" s="1" t="s">
        <v>4</v>
      </c>
      <c r="C17" s="1" t="s">
        <v>35</v>
      </c>
      <c r="D17" s="5">
        <v>43379</v>
      </c>
      <c r="F17" s="1" t="s">
        <v>34</v>
      </c>
    </row>
    <row r="18" spans="1:6" x14ac:dyDescent="0.25">
      <c r="A18" s="2">
        <v>3800</v>
      </c>
      <c r="B18" s="1" t="s">
        <v>4</v>
      </c>
      <c r="C18" s="1" t="s">
        <v>44</v>
      </c>
      <c r="D18" s="5">
        <v>43316</v>
      </c>
      <c r="E18" s="5">
        <v>43317</v>
      </c>
      <c r="F18" s="1" t="s">
        <v>29</v>
      </c>
    </row>
    <row r="19" spans="1:6" x14ac:dyDescent="0.25">
      <c r="A19" s="2">
        <v>3900</v>
      </c>
      <c r="B19" s="1" t="s">
        <v>4</v>
      </c>
      <c r="C19" s="1" t="s">
        <v>45</v>
      </c>
      <c r="D19" s="5">
        <v>43264</v>
      </c>
      <c r="E19" s="5">
        <v>43271</v>
      </c>
      <c r="F19" s="1" t="s">
        <v>50</v>
      </c>
    </row>
    <row r="20" spans="1:6" x14ac:dyDescent="0.25">
      <c r="A20" s="2">
        <v>4800</v>
      </c>
      <c r="B20" s="1" t="s">
        <v>4</v>
      </c>
      <c r="C20" s="1" t="s">
        <v>46</v>
      </c>
      <c r="D20" s="5">
        <v>43308</v>
      </c>
      <c r="E20" s="5">
        <v>43318</v>
      </c>
      <c r="F20" s="1" t="s">
        <v>47</v>
      </c>
    </row>
    <row r="21" spans="1:6" x14ac:dyDescent="0.25">
      <c r="A21" s="2">
        <v>4900</v>
      </c>
      <c r="B21" s="1" t="s">
        <v>4</v>
      </c>
      <c r="C21" s="1" t="s">
        <v>38</v>
      </c>
      <c r="D21" s="5">
        <v>43377</v>
      </c>
      <c r="F21" s="1" t="s">
        <v>16</v>
      </c>
    </row>
    <row r="22" spans="1:6" x14ac:dyDescent="0.25">
      <c r="A22" s="2">
        <v>4905</v>
      </c>
      <c r="B22" s="1" t="s">
        <v>4</v>
      </c>
      <c r="C22" s="1" t="s">
        <v>39</v>
      </c>
      <c r="D22" s="5">
        <v>43377</v>
      </c>
      <c r="F22" s="1" t="s">
        <v>19</v>
      </c>
    </row>
    <row r="23" spans="1:6" x14ac:dyDescent="0.25">
      <c r="A23" s="2">
        <v>5020</v>
      </c>
      <c r="B23" s="1" t="s">
        <v>13</v>
      </c>
      <c r="C23" s="1" t="s">
        <v>11</v>
      </c>
      <c r="D23" s="5">
        <v>43323</v>
      </c>
      <c r="E23" s="5">
        <v>43325</v>
      </c>
      <c r="F23" s="1" t="s">
        <v>20</v>
      </c>
    </row>
    <row r="24" spans="1:6" x14ac:dyDescent="0.25">
      <c r="A24" s="2">
        <v>5022</v>
      </c>
      <c r="B24" s="1" t="s">
        <v>13</v>
      </c>
      <c r="C24" s="1" t="s">
        <v>11</v>
      </c>
      <c r="D24" s="5">
        <v>43298</v>
      </c>
      <c r="E24" s="5">
        <v>43298</v>
      </c>
      <c r="F24" s="1" t="s">
        <v>24</v>
      </c>
    </row>
    <row r="25" spans="1:6" x14ac:dyDescent="0.25">
      <c r="A25" s="2">
        <v>5023</v>
      </c>
      <c r="B25" s="1" t="s">
        <v>13</v>
      </c>
      <c r="C25" s="1" t="s">
        <v>36</v>
      </c>
      <c r="D25" s="5">
        <v>43374</v>
      </c>
      <c r="E25" s="5">
        <v>43374</v>
      </c>
      <c r="F25" s="1" t="s">
        <v>48</v>
      </c>
    </row>
    <row r="26" spans="1:6" x14ac:dyDescent="0.25">
      <c r="A26" s="2">
        <v>6100</v>
      </c>
      <c r="B26" s="1" t="s">
        <v>1</v>
      </c>
      <c r="C26" s="1" t="s">
        <v>10</v>
      </c>
      <c r="D26" s="5">
        <v>43371</v>
      </c>
      <c r="E26" s="5">
        <v>43374</v>
      </c>
      <c r="F26" s="1" t="s">
        <v>31</v>
      </c>
    </row>
    <row r="27" spans="1:6" x14ac:dyDescent="0.25">
      <c r="A27" s="2">
        <v>6101</v>
      </c>
      <c r="B27" s="1" t="s">
        <v>1</v>
      </c>
      <c r="C27" s="1" t="s">
        <v>10</v>
      </c>
      <c r="D27" s="5">
        <v>43369</v>
      </c>
      <c r="E27" s="5">
        <v>43370</v>
      </c>
      <c r="F27" s="1" t="s">
        <v>32</v>
      </c>
    </row>
    <row r="28" spans="1:6" x14ac:dyDescent="0.25">
      <c r="A28" s="2">
        <v>6102</v>
      </c>
      <c r="B28" s="1" t="s">
        <v>1</v>
      </c>
      <c r="C28" s="1" t="s">
        <v>10</v>
      </c>
      <c r="D28" s="5">
        <v>43334</v>
      </c>
      <c r="E28" s="5">
        <v>43335</v>
      </c>
      <c r="F28" s="1" t="s">
        <v>22</v>
      </c>
    </row>
    <row r="29" spans="1:6" x14ac:dyDescent="0.25">
      <c r="A29" s="2">
        <v>6200</v>
      </c>
      <c r="B29" s="1" t="s">
        <v>1</v>
      </c>
      <c r="C29" s="1" t="s">
        <v>8</v>
      </c>
      <c r="D29" s="5">
        <v>43344</v>
      </c>
      <c r="E29" s="5">
        <v>43347</v>
      </c>
      <c r="F29" s="1" t="s">
        <v>37</v>
      </c>
    </row>
    <row r="30" spans="1:6" x14ac:dyDescent="0.25">
      <c r="A30" s="2">
        <v>6301</v>
      </c>
      <c r="B30" s="1" t="s">
        <v>1</v>
      </c>
      <c r="C30" s="1" t="s">
        <v>9</v>
      </c>
      <c r="D30" s="5">
        <v>43353</v>
      </c>
      <c r="F30" s="1" t="s">
        <v>41</v>
      </c>
    </row>
    <row r="31" spans="1:6" x14ac:dyDescent="0.25">
      <c r="A31" s="2">
        <v>6302</v>
      </c>
      <c r="B31" s="1" t="s">
        <v>1</v>
      </c>
      <c r="C31" s="1" t="s">
        <v>9</v>
      </c>
      <c r="D31" s="5">
        <v>43351</v>
      </c>
      <c r="E31" s="5">
        <v>43358</v>
      </c>
      <c r="F31" s="1" t="s">
        <v>30</v>
      </c>
    </row>
  </sheetData>
  <sortState ref="A3:F31">
    <sortCondition ref="A2"/>
  </sortState>
  <dataValidations count="1">
    <dataValidation type="list" allowBlank="1" showInputMessage="1" showErrorMessage="1" sqref="B3:B12">
      <formula1>"Laptop, Other, TV, Projector"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function and formula view</vt:lpstr>
      <vt:lpstr>Summary Data</vt:lpstr>
      <vt:lpstr>Pivotablechart</vt:lpstr>
      <vt:lpstr>Equipment Data</vt:lpstr>
      <vt:lpstr>'Equipment Data'!Advanced_Spreadsheet_Applications_S__text_file</vt:lpstr>
      <vt:lpstr>DataTable</vt:lpstr>
      <vt:lpstr>'function and formula view'!Print_Area</vt:lpstr>
      <vt:lpstr>'Summary Data'!Print_Area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Selznick</dc:creator>
  <cp:lastModifiedBy>Jennifer Vines</cp:lastModifiedBy>
  <cp:lastPrinted>2019-07-12T01:16:17Z</cp:lastPrinted>
  <dcterms:created xsi:type="dcterms:W3CDTF">2010-10-04T15:05:36Z</dcterms:created>
  <dcterms:modified xsi:type="dcterms:W3CDTF">2019-07-12T01:18:51Z</dcterms:modified>
</cp:coreProperties>
</file>