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ngie.Hewes.SMYRNA\Desktop\BA NLC 2020\"/>
    </mc:Choice>
  </mc:AlternateContent>
  <bookViews>
    <workbookView xWindow="0" yWindow="0" windowWidth="28800" windowHeight="12000" activeTab="6"/>
  </bookViews>
  <sheets>
    <sheet name="Starting Point" sheetId="5" r:id="rId1"/>
    <sheet name="Period 1 Sales" sheetId="1" r:id="rId2"/>
    <sheet name="Period 1 Sales - Formulas" sheetId="7" r:id="rId3"/>
    <sheet name="Period 2 Sales" sheetId="2" r:id="rId4"/>
    <sheet name="Summary" sheetId="3" r:id="rId5"/>
    <sheet name="Summary - Formulas" sheetId="8" r:id="rId6"/>
    <sheet name="Pivot Information" sheetId="4" r:id="rId7"/>
    <sheet name="Macro" sheetId="6" r:id="rId8"/>
  </sheets>
  <calcPr calcId="162913"/>
  <pivotCaches>
    <pivotCache cacheId="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8" l="1"/>
  <c r="D7" i="8"/>
  <c r="F7" i="8" s="1"/>
  <c r="C7" i="8"/>
  <c r="B7" i="8"/>
  <c r="G7" i="8" s="1"/>
  <c r="E6" i="8"/>
  <c r="D6" i="8"/>
  <c r="C6" i="8"/>
  <c r="F6" i="8" s="1"/>
  <c r="B6" i="8"/>
  <c r="E5" i="8"/>
  <c r="D5" i="8"/>
  <c r="C5" i="8"/>
  <c r="B5" i="8"/>
  <c r="E4" i="8"/>
  <c r="D4" i="8"/>
  <c r="C4" i="8"/>
  <c r="F4" i="8" s="1"/>
  <c r="B4" i="8"/>
  <c r="E3" i="8"/>
  <c r="D3" i="8"/>
  <c r="F3" i="8" s="1"/>
  <c r="C3" i="8"/>
  <c r="B3" i="8"/>
  <c r="E2" i="8"/>
  <c r="D2" i="8"/>
  <c r="C2" i="8"/>
  <c r="F2" i="8" s="1"/>
  <c r="B2" i="8"/>
  <c r="K8" i="7"/>
  <c r="J8" i="7"/>
  <c r="H8" i="7"/>
  <c r="I8" i="7" s="1"/>
  <c r="K7" i="7"/>
  <c r="J7" i="7"/>
  <c r="H7" i="7"/>
  <c r="I7" i="7" s="1"/>
  <c r="K6" i="7"/>
  <c r="J6" i="7"/>
  <c r="H6" i="7"/>
  <c r="I6" i="7" s="1"/>
  <c r="K5" i="7"/>
  <c r="J5" i="7"/>
  <c r="H5" i="7"/>
  <c r="I5" i="7" s="1"/>
  <c r="K4" i="7"/>
  <c r="J4" i="7"/>
  <c r="H4" i="7"/>
  <c r="I4" i="7" s="1"/>
  <c r="K3" i="7"/>
  <c r="J3" i="7"/>
  <c r="H3" i="7"/>
  <c r="I3" i="7" s="1"/>
  <c r="G2" i="8" l="1"/>
  <c r="F5" i="8"/>
  <c r="G4" i="8"/>
  <c r="G6" i="8"/>
  <c r="G3" i="8"/>
  <c r="G5" i="8"/>
  <c r="B3" i="3" l="1"/>
  <c r="C3" i="3"/>
  <c r="D3" i="3"/>
  <c r="E3" i="3"/>
  <c r="B4" i="3"/>
  <c r="C4" i="3"/>
  <c r="D4" i="3"/>
  <c r="E4" i="3"/>
  <c r="B5" i="3"/>
  <c r="C5" i="3"/>
  <c r="D5" i="3"/>
  <c r="E5" i="3"/>
  <c r="B6" i="3"/>
  <c r="C6" i="3"/>
  <c r="D6" i="3"/>
  <c r="E6" i="3"/>
  <c r="B7" i="3"/>
  <c r="C7" i="3"/>
  <c r="D7" i="3"/>
  <c r="E7" i="3"/>
  <c r="E2" i="3"/>
  <c r="D2" i="3"/>
  <c r="C2" i="3"/>
  <c r="B2" i="3"/>
  <c r="H4" i="2"/>
  <c r="I4" i="2" s="1"/>
  <c r="H5" i="2"/>
  <c r="I5" i="2" s="1"/>
  <c r="H6" i="2"/>
  <c r="I6" i="2" s="1"/>
  <c r="H7" i="2"/>
  <c r="I7" i="2" s="1"/>
  <c r="H8" i="2"/>
  <c r="I8" i="2" s="1"/>
  <c r="K3" i="2"/>
  <c r="J3" i="2"/>
  <c r="I3" i="2"/>
  <c r="H3" i="2"/>
  <c r="H4" i="1"/>
  <c r="I4" i="1" s="1"/>
  <c r="H5" i="1"/>
  <c r="I5" i="1" s="1"/>
  <c r="H6" i="1"/>
  <c r="I6" i="1" s="1"/>
  <c r="H7" i="1"/>
  <c r="I7" i="1" s="1"/>
  <c r="H8" i="1"/>
  <c r="I8" i="1" s="1"/>
  <c r="K3" i="1"/>
  <c r="J3" i="1"/>
  <c r="I3" i="1"/>
  <c r="H3" i="1"/>
  <c r="F2" i="3" l="1"/>
  <c r="G2" i="3" s="1"/>
  <c r="F5" i="3"/>
  <c r="G5" i="3" s="1"/>
  <c r="F7" i="3"/>
  <c r="G7" i="3" s="1"/>
  <c r="F6" i="3"/>
  <c r="G6" i="3" s="1"/>
  <c r="F4" i="3"/>
  <c r="G4" i="3" s="1"/>
  <c r="F3" i="3"/>
  <c r="G3" i="3" s="1"/>
  <c r="K8" i="2"/>
  <c r="K6" i="2"/>
  <c r="K4" i="2"/>
  <c r="J8" i="2"/>
  <c r="J7" i="2"/>
  <c r="J6" i="2"/>
  <c r="J5" i="2"/>
  <c r="J4" i="2"/>
  <c r="K7" i="2"/>
  <c r="K5" i="2"/>
  <c r="K8" i="1"/>
  <c r="K7" i="1"/>
  <c r="K6" i="1"/>
  <c r="K5" i="1"/>
  <c r="K4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<sst xmlns="http://schemas.openxmlformats.org/spreadsheetml/2006/main" count="119" uniqueCount="30">
  <si>
    <t>Customer</t>
  </si>
  <si>
    <t>January</t>
  </si>
  <si>
    <t>February</t>
  </si>
  <si>
    <t>March</t>
  </si>
  <si>
    <t>April</t>
  </si>
  <si>
    <t>May</t>
  </si>
  <si>
    <t>June</t>
  </si>
  <si>
    <t>Lakeside Trucking</t>
  </si>
  <si>
    <t>Gregor Machines</t>
  </si>
  <si>
    <t>Real Photography</t>
  </si>
  <si>
    <t>Genesis Production</t>
  </si>
  <si>
    <t>Landower Floral</t>
  </si>
  <si>
    <t>Jewell Enterprises</t>
  </si>
  <si>
    <t>6 Month Sales</t>
  </si>
  <si>
    <t>Consultant Fee</t>
  </si>
  <si>
    <t>Federal Tax</t>
  </si>
  <si>
    <t>State Tax</t>
  </si>
  <si>
    <t>Consultant Fee
Yearly Total</t>
  </si>
  <si>
    <t>Sales 
Yearly Total</t>
  </si>
  <si>
    <t>Federal Tax
Yearly Total</t>
  </si>
  <si>
    <t>State Tax
Yearly Total</t>
  </si>
  <si>
    <t>Total
Expenses</t>
  </si>
  <si>
    <t>Profit
Yearly Total</t>
  </si>
  <si>
    <t>Grand Total</t>
  </si>
  <si>
    <t>Sum of Profit
Yearly Total</t>
  </si>
  <si>
    <t>Customers</t>
  </si>
  <si>
    <t>Blue Scape Consulting</t>
  </si>
  <si>
    <t>11032 Robinson Drive</t>
  </si>
  <si>
    <t>Nashville, TN 37011</t>
  </si>
  <si>
    <t>1-800-651-9923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</si>
</sst>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rgb="FF0070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/>
    <xf numFmtId="166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1" fillId="2" borderId="0" xfId="1"/>
    <xf numFmtId="0" fontId="2" fillId="3" borderId="0" xfId="0" applyFont="1" applyFill="1"/>
    <xf numFmtId="0" fontId="1" fillId="2" borderId="2" xfId="1" applyBorder="1" applyAlignment="1">
      <alignment wrapText="1"/>
    </xf>
    <xf numFmtId="166" fontId="2" fillId="0" borderId="1" xfId="0" applyNumberFormat="1" applyFont="1" applyBorder="1"/>
    <xf numFmtId="166" fontId="2" fillId="3" borderId="1" xfId="0" applyNumberFormat="1" applyFont="1" applyFill="1" applyBorder="1"/>
    <xf numFmtId="0" fontId="0" fillId="0" borderId="0" xfId="0" pivotButton="1"/>
    <xf numFmtId="166" fontId="0" fillId="0" borderId="0" xfId="0" applyNumberFormat="1"/>
    <xf numFmtId="0" fontId="4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</cellXfs>
  <cellStyles count="2">
    <cellStyle name="40% - Accent6" xfId="1" builtinId="51"/>
    <cellStyle name="Normal" xfId="0" builtinId="0"/>
  </cellStyles>
  <dxfs count="2">
    <dxf>
      <numFmt numFmtId="166" formatCode="&quot;$&quot;#,##0.00"/>
    </dxf>
    <dxf>
      <numFmt numFmtId="166" formatCode="&quot;$&quot;#,##0.00"/>
    </dxf>
  </dxfs>
  <tableStyles count="0" defaultTableStyle="TableStyleMedium2" defaultPivotStyle="PivotStyleLight16"/>
  <colors>
    <mruColors>
      <color rgb="FFC6E0B4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Spreadsheet - Key.xlsx]Pivot Information!PivotTable1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Information'!$B$1:$B$2</c:f>
              <c:strCache>
                <c:ptCount val="1"/>
                <c:pt idx="0">
                  <c:v>Genesis 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Information'!$A$3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Information'!$B$3</c:f>
              <c:numCache>
                <c:formatCode>"$"#,##0.00</c:formatCode>
                <c:ptCount val="1"/>
                <c:pt idx="0">
                  <c:v>529248.12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4-4146-88B2-F42137B94E43}"/>
            </c:ext>
          </c:extLst>
        </c:ser>
        <c:ser>
          <c:idx val="1"/>
          <c:order val="1"/>
          <c:tx>
            <c:strRef>
              <c:f>'Pivot Information'!$C$1:$C$2</c:f>
              <c:strCache>
                <c:ptCount val="1"/>
                <c:pt idx="0">
                  <c:v>Gregor Machines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Information'!$A$3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Information'!$C$3</c:f>
              <c:numCache>
                <c:formatCode>"$"#,##0.00</c:formatCode>
                <c:ptCount val="1"/>
                <c:pt idx="0">
                  <c:v>310819.64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4-4146-88B2-F42137B94E43}"/>
            </c:ext>
          </c:extLst>
        </c:ser>
        <c:ser>
          <c:idx val="2"/>
          <c:order val="2"/>
          <c:tx>
            <c:strRef>
              <c:f>'Pivot Information'!$D$1:$D$2</c:f>
              <c:strCache>
                <c:ptCount val="1"/>
                <c:pt idx="0">
                  <c:v>Jewell Enterprises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Information'!$A$3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Information'!$D$3</c:f>
              <c:numCache>
                <c:formatCode>"$"#,##0.00</c:formatCode>
                <c:ptCount val="1"/>
                <c:pt idx="0">
                  <c:v>250953.68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4-4146-88B2-F42137B94E43}"/>
            </c:ext>
          </c:extLst>
        </c:ser>
        <c:ser>
          <c:idx val="3"/>
          <c:order val="3"/>
          <c:tx>
            <c:strRef>
              <c:f>'Pivot Information'!$E$1:$E$2</c:f>
              <c:strCache>
                <c:ptCount val="1"/>
                <c:pt idx="0">
                  <c:v>Lakeside Trucking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Information'!$A$3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Information'!$E$3</c:f>
              <c:numCache>
                <c:formatCode>"$"#,##0.00</c:formatCode>
                <c:ptCount val="1"/>
                <c:pt idx="0">
                  <c:v>642628.76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4-4146-88B2-F42137B94E43}"/>
            </c:ext>
          </c:extLst>
        </c:ser>
        <c:ser>
          <c:idx val="4"/>
          <c:order val="4"/>
          <c:tx>
            <c:strRef>
              <c:f>'Pivot Information'!$F$1:$F$2</c:f>
              <c:strCache>
                <c:ptCount val="1"/>
                <c:pt idx="0">
                  <c:v>Landower Floral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Information'!$A$3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Information'!$F$3</c:f>
              <c:numCache>
                <c:formatCode>"$"#,##0.00</c:formatCode>
                <c:ptCount val="1"/>
                <c:pt idx="0">
                  <c:v>188373.36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F4-4146-88B2-F42137B94E43}"/>
            </c:ext>
          </c:extLst>
        </c:ser>
        <c:ser>
          <c:idx val="5"/>
          <c:order val="5"/>
          <c:tx>
            <c:strRef>
              <c:f>'Pivot Information'!$G$1:$G$2</c:f>
              <c:strCache>
                <c:ptCount val="1"/>
                <c:pt idx="0">
                  <c:v>Real Photography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Information'!$A$3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Information'!$G$3</c:f>
              <c:numCache>
                <c:formatCode>"$"#,##0.00</c:formatCode>
                <c:ptCount val="1"/>
                <c:pt idx="0">
                  <c:v>204665.72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F4-4146-88B2-F42137B9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642029320"/>
        <c:axId val="642023744"/>
      </c:barChart>
      <c:catAx>
        <c:axId val="64202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23744"/>
        <c:crosses val="autoZero"/>
        <c:auto val="1"/>
        <c:lblAlgn val="ctr"/>
        <c:lblOffset val="100"/>
        <c:noMultiLvlLbl val="0"/>
      </c:catAx>
      <c:valAx>
        <c:axId val="6420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2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14286</xdr:colOff>
      <xdr:row>3</xdr:row>
      <xdr:rowOff>171449</xdr:rowOff>
    </xdr:from>
    <xdr:to>
      <xdr:col>7</xdr:col>
      <xdr:colOff>9524</xdr:colOff>
      <xdr:row>24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437486</xdr:colOff>
      <xdr:row>47</xdr:row>
      <xdr:rowOff>141738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14286" cy="90952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wes Angie" refreshedDate="43892.768452893521" createdVersion="6" refreshedVersion="6" minRefreshableVersion="3" recordCount="6">
  <cacheSource type="worksheet">
    <worksheetSource ref="A1:G7" sheet="Summary"/>
  </cacheSource>
  <cacheFields count="7">
    <cacheField name="Customer" numFmtId="0">
      <sharedItems count="6">
        <s v="Lakeside Trucking"/>
        <s v="Gregor Machines"/>
        <s v="Real Photography"/>
        <s v="Genesis Production"/>
        <s v="Landower Floral"/>
        <s v="Jewell Enterprises"/>
      </sharedItems>
    </cacheField>
    <cacheField name="Sales _x000a_Yearly Total" numFmtId="166">
      <sharedItems containsSemiMixedTypes="0" containsString="0" containsNumber="1" containsInteger="1" minValue="303828" maxValue="1036498"/>
    </cacheField>
    <cacheField name="Consultant Fee_x000a_Yearly Total" numFmtId="166">
      <sharedItems containsSemiMixedTypes="0" containsString="0" containsNumber="1" minValue="30382.800000000003" maxValue="103649.8"/>
    </cacheField>
    <cacheField name="Federal Tax_x000a_Yearly Total" numFmtId="166">
      <sharedItems containsSemiMixedTypes="0" containsString="0" containsNumber="1" minValue="51650.76" maxValue="176204.66"/>
    </cacheField>
    <cacheField name="State Tax_x000a_Yearly Total" numFmtId="166">
      <sharedItems containsSemiMixedTypes="0" containsString="0" containsNumber="1" minValue="33421.08" maxValue="114014.78"/>
    </cacheField>
    <cacheField name="Total_x000a_Expenses" numFmtId="166">
      <sharedItems containsSemiMixedTypes="0" containsString="0" containsNumber="1" minValue="115454.64" maxValue="393869.24"/>
    </cacheField>
    <cacheField name="Profit_x000a_Yearly Total" numFmtId="166">
      <sharedItems containsSemiMixedTypes="0" containsString="0" containsNumber="1" minValue="188373.36" maxValue="642628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1036498"/>
    <n v="103649.8"/>
    <n v="176204.66"/>
    <n v="114014.78"/>
    <n v="393869.24"/>
    <n v="642628.76"/>
  </r>
  <r>
    <x v="1"/>
    <n v="501322"/>
    <n v="50132.200000000004"/>
    <n v="85224.74"/>
    <n v="55145.42"/>
    <n v="190502.36"/>
    <n v="310819.64"/>
  </r>
  <r>
    <x v="2"/>
    <n v="330106"/>
    <n v="33010.6"/>
    <n v="56118.020000000004"/>
    <n v="36311.660000000003"/>
    <n v="125440.28"/>
    <n v="204665.72"/>
  </r>
  <r>
    <x v="3"/>
    <n v="853626"/>
    <n v="85362.6"/>
    <n v="145116.42000000001"/>
    <n v="93898.86"/>
    <n v="324377.88"/>
    <n v="529248.12"/>
  </r>
  <r>
    <x v="4"/>
    <n v="303828"/>
    <n v="30382.800000000003"/>
    <n v="51650.76"/>
    <n v="33421.08"/>
    <n v="115454.64"/>
    <n v="188373.36"/>
  </r>
  <r>
    <x v="5"/>
    <n v="404764"/>
    <n v="40476.400000000001"/>
    <n v="68809.88"/>
    <n v="44524.04"/>
    <n v="153810.32"/>
    <n v="250953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colHeaderCaption="Customers">
  <location ref="A1:H3" firstHeaderRow="1" firstDataRow="2" firstDataCol="1"/>
  <pivotFields count="7">
    <pivotField name="Customers" axis="axisCol" showAll="0">
      <items count="7">
        <item x="3"/>
        <item x="1"/>
        <item x="5"/>
        <item x="0"/>
        <item x="4"/>
        <item x="2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_x000a_Yearly Total" fld="6" baseField="0" baseItem="0"/>
  </dataFields>
  <formats count="2">
    <format dxfId="0">
      <pivotArea outline="0" collapsedLevelsAreSubtotals="1" fieldPosition="0">
        <references count="1">
          <reference field="0" count="0" selected="0"/>
        </references>
      </pivotArea>
    </format>
    <format dxfId="1">
      <pivotArea grandCol="1" outline="0" collapsedLevelsAreSubtotals="1" fieldPosition="0"/>
    </format>
  </formats>
  <chartFormats count="6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8"/>
  <sheetViews>
    <sheetView zoomScale="175" zoomScaleNormal="175" workbookViewId="0">
      <selection activeCell="H10" sqref="H10"/>
    </sheetView>
  </sheetViews>
  <sheetFormatPr defaultRowHeight="15.75" x14ac:dyDescent="0.25"/>
  <cols>
    <col min="1" max="1" width="18.42578125" style="1" bestFit="1" customWidth="1"/>
    <col min="2" max="7" width="11.140625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25">
      <c r="A3" s="1" t="s">
        <v>7</v>
      </c>
      <c r="B3" s="2"/>
      <c r="C3" s="2"/>
      <c r="D3" s="2"/>
      <c r="E3" s="2"/>
      <c r="F3" s="2"/>
      <c r="G3" s="2"/>
    </row>
    <row r="4" spans="1:7" x14ac:dyDescent="0.25">
      <c r="A4" s="1" t="s">
        <v>8</v>
      </c>
      <c r="B4" s="2"/>
      <c r="C4" s="2"/>
      <c r="D4" s="2"/>
      <c r="E4" s="2"/>
      <c r="F4" s="2"/>
      <c r="G4" s="2"/>
    </row>
    <row r="5" spans="1:7" x14ac:dyDescent="0.25">
      <c r="A5" s="1" t="s">
        <v>9</v>
      </c>
      <c r="B5" s="2"/>
      <c r="C5" s="2"/>
      <c r="D5" s="2"/>
      <c r="E5" s="2"/>
      <c r="F5" s="2"/>
      <c r="G5" s="2"/>
    </row>
    <row r="6" spans="1:7" x14ac:dyDescent="0.25">
      <c r="A6" s="1" t="s">
        <v>10</v>
      </c>
      <c r="B6" s="2"/>
      <c r="C6" s="2"/>
      <c r="D6" s="2"/>
      <c r="E6" s="2"/>
      <c r="F6" s="2"/>
      <c r="G6" s="2"/>
    </row>
    <row r="7" spans="1:7" x14ac:dyDescent="0.25">
      <c r="A7" s="1" t="s">
        <v>11</v>
      </c>
      <c r="B7" s="2"/>
      <c r="C7" s="2"/>
      <c r="D7" s="2"/>
      <c r="E7" s="2"/>
      <c r="F7" s="2"/>
      <c r="G7" s="2"/>
    </row>
    <row r="8" spans="1:7" x14ac:dyDescent="0.25">
      <c r="A8" s="1" t="s">
        <v>12</v>
      </c>
      <c r="B8" s="2"/>
      <c r="C8" s="2"/>
      <c r="D8" s="2"/>
      <c r="E8" s="2"/>
      <c r="F8" s="2"/>
      <c r="G8" s="2"/>
    </row>
  </sheetData>
  <printOptions horizontalCentered="1" verticalCentered="1"/>
  <pageMargins left="0.7" right="0.7" top="0.75" bottom="0.75" header="0.3" footer="0.3"/>
  <pageSetup orientation="landscape" r:id="rId1"/>
  <headerFooter>
    <oddFooter>&amp;C&amp;A&amp;RContestant ID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14"/>
  <sheetViews>
    <sheetView zoomScale="175" zoomScaleNormal="175" workbookViewId="0">
      <selection activeCell="H10" sqref="H10"/>
    </sheetView>
  </sheetViews>
  <sheetFormatPr defaultRowHeight="15.75" x14ac:dyDescent="0.25"/>
  <cols>
    <col min="1" max="1" width="33.140625" style="1" bestFit="1" customWidth="1"/>
    <col min="2" max="7" width="11.140625" style="1" customWidth="1"/>
    <col min="8" max="8" width="14.28515625" style="1" bestFit="1" customWidth="1"/>
    <col min="9" max="9" width="14.85546875" style="1" bestFit="1" customWidth="1"/>
    <col min="10" max="10" width="11.7109375" style="1" bestFit="1" customWidth="1"/>
    <col min="11" max="11" width="11.2851562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5">
      <c r="I2" s="3">
        <v>0.1</v>
      </c>
      <c r="J2" s="3">
        <v>0.17</v>
      </c>
      <c r="K2" s="3">
        <v>0.11</v>
      </c>
    </row>
    <row r="3" spans="1:11" x14ac:dyDescent="0.25">
      <c r="A3" s="1" t="s">
        <v>7</v>
      </c>
      <c r="B3" s="2">
        <v>89450</v>
      </c>
      <c r="C3" s="2">
        <v>75340</v>
      </c>
      <c r="D3" s="2">
        <v>98224</v>
      </c>
      <c r="E3" s="2">
        <v>84231</v>
      </c>
      <c r="F3" s="2">
        <v>73455</v>
      </c>
      <c r="G3" s="2">
        <v>97549</v>
      </c>
      <c r="H3" s="2">
        <f>SUM(B3:G3)</f>
        <v>518249</v>
      </c>
      <c r="I3" s="2">
        <f>H3*$I$2</f>
        <v>51824.9</v>
      </c>
      <c r="J3" s="2">
        <f>H3*$J$2</f>
        <v>88102.33</v>
      </c>
      <c r="K3" s="2">
        <f>H3*$K$2</f>
        <v>57007.39</v>
      </c>
    </row>
    <row r="4" spans="1:11" x14ac:dyDescent="0.25">
      <c r="A4" s="1" t="s">
        <v>8</v>
      </c>
      <c r="B4" s="2">
        <v>45210</v>
      </c>
      <c r="C4" s="2">
        <v>28340</v>
      </c>
      <c r="D4" s="2">
        <v>53400</v>
      </c>
      <c r="E4" s="2">
        <v>33199</v>
      </c>
      <c r="F4" s="2">
        <v>40390</v>
      </c>
      <c r="G4" s="2">
        <v>50122</v>
      </c>
      <c r="H4" s="2">
        <f t="shared" ref="H4:H8" si="0">SUM(B4:G4)</f>
        <v>250661</v>
      </c>
      <c r="I4" s="2">
        <f t="shared" ref="I4:I8" si="1">H4*$I$2</f>
        <v>25066.100000000002</v>
      </c>
      <c r="J4" s="2">
        <f t="shared" ref="J4:J8" si="2">H4*$J$2</f>
        <v>42612.37</v>
      </c>
      <c r="K4" s="2">
        <f t="shared" ref="K4:K8" si="3">H4*$K$2</f>
        <v>27572.71</v>
      </c>
    </row>
    <row r="5" spans="1:11" x14ac:dyDescent="0.25">
      <c r="A5" s="1" t="s">
        <v>9</v>
      </c>
      <c r="B5" s="2">
        <v>30219</v>
      </c>
      <c r="C5" s="2">
        <v>28590</v>
      </c>
      <c r="D5" s="2">
        <v>3464</v>
      </c>
      <c r="E5" s="2">
        <v>30891</v>
      </c>
      <c r="F5" s="2">
        <v>35489</v>
      </c>
      <c r="G5" s="2">
        <v>36400</v>
      </c>
      <c r="H5" s="2">
        <f t="shared" si="0"/>
        <v>165053</v>
      </c>
      <c r="I5" s="2">
        <f t="shared" si="1"/>
        <v>16505.3</v>
      </c>
      <c r="J5" s="2">
        <f t="shared" si="2"/>
        <v>28059.010000000002</v>
      </c>
      <c r="K5" s="2">
        <f t="shared" si="3"/>
        <v>18155.830000000002</v>
      </c>
    </row>
    <row r="6" spans="1:11" x14ac:dyDescent="0.25">
      <c r="A6" s="1" t="s">
        <v>10</v>
      </c>
      <c r="B6" s="2">
        <v>65290</v>
      </c>
      <c r="C6" s="2">
        <v>51390</v>
      </c>
      <c r="D6" s="2">
        <v>79334</v>
      </c>
      <c r="E6" s="2">
        <v>72190</v>
      </c>
      <c r="F6" s="2">
        <v>75390</v>
      </c>
      <c r="G6" s="2">
        <v>83219</v>
      </c>
      <c r="H6" s="2">
        <f t="shared" si="0"/>
        <v>426813</v>
      </c>
      <c r="I6" s="2">
        <f t="shared" si="1"/>
        <v>42681.3</v>
      </c>
      <c r="J6" s="2">
        <f t="shared" si="2"/>
        <v>72558.210000000006</v>
      </c>
      <c r="K6" s="2">
        <f t="shared" si="3"/>
        <v>46949.43</v>
      </c>
    </row>
    <row r="7" spans="1:11" x14ac:dyDescent="0.25">
      <c r="A7" s="1" t="s">
        <v>11</v>
      </c>
      <c r="B7" s="2">
        <v>12168</v>
      </c>
      <c r="C7" s="2">
        <v>19355</v>
      </c>
      <c r="D7" s="2">
        <v>45209</v>
      </c>
      <c r="E7" s="2">
        <v>22188</v>
      </c>
      <c r="F7" s="2">
        <v>14228</v>
      </c>
      <c r="G7" s="2">
        <v>38766</v>
      </c>
      <c r="H7" s="2">
        <f t="shared" si="0"/>
        <v>151914</v>
      </c>
      <c r="I7" s="2">
        <f t="shared" si="1"/>
        <v>15191.400000000001</v>
      </c>
      <c r="J7" s="2">
        <f t="shared" si="2"/>
        <v>25825.38</v>
      </c>
      <c r="K7" s="2">
        <f t="shared" si="3"/>
        <v>16710.54</v>
      </c>
    </row>
    <row r="8" spans="1:11" x14ac:dyDescent="0.25">
      <c r="A8" s="1" t="s">
        <v>12</v>
      </c>
      <c r="B8" s="2">
        <v>44329</v>
      </c>
      <c r="C8" s="2">
        <v>21809</v>
      </c>
      <c r="D8" s="2">
        <v>33490</v>
      </c>
      <c r="E8" s="2">
        <v>19765</v>
      </c>
      <c r="F8" s="2">
        <v>50801</v>
      </c>
      <c r="G8" s="2">
        <v>32188</v>
      </c>
      <c r="H8" s="2">
        <f t="shared" si="0"/>
        <v>202382</v>
      </c>
      <c r="I8" s="2">
        <f t="shared" si="1"/>
        <v>20238.2</v>
      </c>
      <c r="J8" s="2">
        <f t="shared" si="2"/>
        <v>34404.94</v>
      </c>
      <c r="K8" s="2">
        <f t="shared" si="3"/>
        <v>22262.02</v>
      </c>
    </row>
    <row r="10" spans="1:11" ht="16.5" thickBot="1" x14ac:dyDescent="0.3"/>
    <row r="11" spans="1:11" ht="23.25" x14ac:dyDescent="0.35">
      <c r="A11" s="12" t="s">
        <v>26</v>
      </c>
    </row>
    <row r="12" spans="1:11" x14ac:dyDescent="0.25">
      <c r="A12" s="13" t="s">
        <v>27</v>
      </c>
    </row>
    <row r="13" spans="1:11" x14ac:dyDescent="0.25">
      <c r="A13" s="13" t="s">
        <v>28</v>
      </c>
    </row>
    <row r="14" spans="1:11" ht="16.5" thickBot="1" x14ac:dyDescent="0.3">
      <c r="A14" s="14" t="s">
        <v>29</v>
      </c>
    </row>
  </sheetData>
  <printOptions horizontalCentered="1" verticalCentered="1"/>
  <pageMargins left="0.7" right="0.7" top="0.75" bottom="0.75" header="0.3" footer="0.3"/>
  <pageSetup scale="80" orientation="landscape" r:id="rId1"/>
  <headerFooter>
    <oddFooter>&amp;C&amp;A&amp;RContestant ID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14"/>
  <sheetViews>
    <sheetView showFormulas="1" zoomScale="175" zoomScaleNormal="175" workbookViewId="0">
      <selection activeCell="H10" sqref="H10"/>
    </sheetView>
  </sheetViews>
  <sheetFormatPr defaultRowHeight="15.75" x14ac:dyDescent="0.25"/>
  <cols>
    <col min="1" max="1" width="16.7109375" style="1" bestFit="1" customWidth="1"/>
    <col min="2" max="2" width="4" style="1" bestFit="1" customWidth="1"/>
    <col min="3" max="3" width="4.5703125" style="1" bestFit="1" customWidth="1"/>
    <col min="4" max="4" width="3.5703125" style="1" bestFit="1" customWidth="1"/>
    <col min="5" max="7" width="3.42578125" style="1" bestFit="1" customWidth="1"/>
    <col min="8" max="8" width="7.42578125" style="1" bestFit="1" customWidth="1"/>
    <col min="9" max="9" width="7.5703125" style="1" bestFit="1" customWidth="1"/>
    <col min="10" max="10" width="6" style="1" bestFit="1" customWidth="1"/>
    <col min="11" max="11" width="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5">
      <c r="I2" s="3">
        <v>0.1</v>
      </c>
      <c r="J2" s="3">
        <v>0.17</v>
      </c>
      <c r="K2" s="3">
        <v>0.11</v>
      </c>
    </row>
    <row r="3" spans="1:11" x14ac:dyDescent="0.25">
      <c r="A3" s="1" t="s">
        <v>7</v>
      </c>
      <c r="B3" s="2">
        <v>89450</v>
      </c>
      <c r="C3" s="2">
        <v>75340</v>
      </c>
      <c r="D3" s="2">
        <v>98224</v>
      </c>
      <c r="E3" s="2">
        <v>84231</v>
      </c>
      <c r="F3" s="2">
        <v>73455</v>
      </c>
      <c r="G3" s="2">
        <v>97549</v>
      </c>
      <c r="H3" s="2">
        <f>SUM(B3:G3)</f>
        <v>518249</v>
      </c>
      <c r="I3" s="2">
        <f>H3*$I$2</f>
        <v>51824.9</v>
      </c>
      <c r="J3" s="2">
        <f>H3*$J$2</f>
        <v>88102.33</v>
      </c>
      <c r="K3" s="2">
        <f>H3*$K$2</f>
        <v>57007.39</v>
      </c>
    </row>
    <row r="4" spans="1:11" x14ac:dyDescent="0.25">
      <c r="A4" s="1" t="s">
        <v>8</v>
      </c>
      <c r="B4" s="2">
        <v>45210</v>
      </c>
      <c r="C4" s="2">
        <v>28340</v>
      </c>
      <c r="D4" s="2">
        <v>53400</v>
      </c>
      <c r="E4" s="2">
        <v>33199</v>
      </c>
      <c r="F4" s="2">
        <v>40390</v>
      </c>
      <c r="G4" s="2">
        <v>50122</v>
      </c>
      <c r="H4" s="2">
        <f t="shared" ref="H4:H8" si="0">SUM(B4:G4)</f>
        <v>250661</v>
      </c>
      <c r="I4" s="2">
        <f t="shared" ref="I4:I8" si="1">H4*$I$2</f>
        <v>25066.100000000002</v>
      </c>
      <c r="J4" s="2">
        <f t="shared" ref="J4:J8" si="2">H4*$J$2</f>
        <v>42612.37</v>
      </c>
      <c r="K4" s="2">
        <f t="shared" ref="K4:K8" si="3">H4*$K$2</f>
        <v>27572.71</v>
      </c>
    </row>
    <row r="5" spans="1:11" x14ac:dyDescent="0.25">
      <c r="A5" s="1" t="s">
        <v>9</v>
      </c>
      <c r="B5" s="2">
        <v>30219</v>
      </c>
      <c r="C5" s="2">
        <v>28590</v>
      </c>
      <c r="D5" s="2">
        <v>3464</v>
      </c>
      <c r="E5" s="2">
        <v>30891</v>
      </c>
      <c r="F5" s="2">
        <v>35489</v>
      </c>
      <c r="G5" s="2">
        <v>36400</v>
      </c>
      <c r="H5" s="2">
        <f t="shared" si="0"/>
        <v>165053</v>
      </c>
      <c r="I5" s="2">
        <f t="shared" si="1"/>
        <v>16505.3</v>
      </c>
      <c r="J5" s="2">
        <f t="shared" si="2"/>
        <v>28059.010000000002</v>
      </c>
      <c r="K5" s="2">
        <f t="shared" si="3"/>
        <v>18155.830000000002</v>
      </c>
    </row>
    <row r="6" spans="1:11" x14ac:dyDescent="0.25">
      <c r="A6" s="1" t="s">
        <v>10</v>
      </c>
      <c r="B6" s="2">
        <v>65290</v>
      </c>
      <c r="C6" s="2">
        <v>51390</v>
      </c>
      <c r="D6" s="2">
        <v>79334</v>
      </c>
      <c r="E6" s="2">
        <v>72190</v>
      </c>
      <c r="F6" s="2">
        <v>75390</v>
      </c>
      <c r="G6" s="2">
        <v>83219</v>
      </c>
      <c r="H6" s="2">
        <f t="shared" si="0"/>
        <v>426813</v>
      </c>
      <c r="I6" s="2">
        <f t="shared" si="1"/>
        <v>42681.3</v>
      </c>
      <c r="J6" s="2">
        <f t="shared" si="2"/>
        <v>72558.210000000006</v>
      </c>
      <c r="K6" s="2">
        <f t="shared" si="3"/>
        <v>46949.43</v>
      </c>
    </row>
    <row r="7" spans="1:11" x14ac:dyDescent="0.25">
      <c r="A7" s="1" t="s">
        <v>11</v>
      </c>
      <c r="B7" s="2">
        <v>12168</v>
      </c>
      <c r="C7" s="2">
        <v>19355</v>
      </c>
      <c r="D7" s="2">
        <v>45209</v>
      </c>
      <c r="E7" s="2">
        <v>22188</v>
      </c>
      <c r="F7" s="2">
        <v>14228</v>
      </c>
      <c r="G7" s="2">
        <v>38766</v>
      </c>
      <c r="H7" s="2">
        <f t="shared" si="0"/>
        <v>151914</v>
      </c>
      <c r="I7" s="2">
        <f t="shared" si="1"/>
        <v>15191.400000000001</v>
      </c>
      <c r="J7" s="2">
        <f t="shared" si="2"/>
        <v>25825.38</v>
      </c>
      <c r="K7" s="2">
        <f t="shared" si="3"/>
        <v>16710.54</v>
      </c>
    </row>
    <row r="8" spans="1:11" x14ac:dyDescent="0.25">
      <c r="A8" s="1" t="s">
        <v>12</v>
      </c>
      <c r="B8" s="2">
        <v>44329</v>
      </c>
      <c r="C8" s="2">
        <v>21809</v>
      </c>
      <c r="D8" s="2">
        <v>33490</v>
      </c>
      <c r="E8" s="2">
        <v>19765</v>
      </c>
      <c r="F8" s="2">
        <v>50801</v>
      </c>
      <c r="G8" s="2">
        <v>32188</v>
      </c>
      <c r="H8" s="2">
        <f t="shared" si="0"/>
        <v>202382</v>
      </c>
      <c r="I8" s="2">
        <f t="shared" si="1"/>
        <v>20238.2</v>
      </c>
      <c r="J8" s="2">
        <f t="shared" si="2"/>
        <v>34404.94</v>
      </c>
      <c r="K8" s="2">
        <f t="shared" si="3"/>
        <v>22262.02</v>
      </c>
    </row>
    <row r="10" spans="1:11" ht="16.5" thickBot="1" x14ac:dyDescent="0.3"/>
    <row r="11" spans="1:11" ht="23.25" x14ac:dyDescent="0.35">
      <c r="A11" s="12" t="s">
        <v>26</v>
      </c>
    </row>
    <row r="12" spans="1:11" x14ac:dyDescent="0.25">
      <c r="A12" s="13" t="s">
        <v>27</v>
      </c>
    </row>
    <row r="13" spans="1:11" x14ac:dyDescent="0.25">
      <c r="A13" s="13" t="s">
        <v>28</v>
      </c>
    </row>
    <row r="14" spans="1:11" ht="16.5" thickBot="1" x14ac:dyDescent="0.3">
      <c r="A14" s="14" t="s">
        <v>29</v>
      </c>
    </row>
  </sheetData>
  <printOptions horizontalCentered="1" verticalCentered="1"/>
  <pageMargins left="0.7" right="0.7" top="0.75" bottom="0.75" header="0.3" footer="0.3"/>
  <pageSetup scale="92" orientation="landscape" r:id="rId1"/>
  <headerFooter>
    <oddFooter>&amp;C&amp;A&amp;RContestant ID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14"/>
  <sheetViews>
    <sheetView zoomScale="175" zoomScaleNormal="175" workbookViewId="0">
      <selection activeCell="H10" sqref="H10"/>
    </sheetView>
  </sheetViews>
  <sheetFormatPr defaultRowHeight="15.75" x14ac:dyDescent="0.25"/>
  <cols>
    <col min="1" max="1" width="33.140625" style="1" bestFit="1" customWidth="1"/>
    <col min="2" max="7" width="11.140625" style="1" customWidth="1"/>
    <col min="8" max="8" width="14.28515625" style="1" bestFit="1" customWidth="1"/>
    <col min="9" max="9" width="14.85546875" style="1" bestFit="1" customWidth="1"/>
    <col min="10" max="10" width="11.7109375" style="1" bestFit="1" customWidth="1"/>
    <col min="11" max="11" width="11.2851562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25">
      <c r="I2" s="3">
        <v>0.1</v>
      </c>
      <c r="J2" s="3">
        <v>0.17</v>
      </c>
      <c r="K2" s="3">
        <v>0.11</v>
      </c>
    </row>
    <row r="3" spans="1:11" x14ac:dyDescent="0.25">
      <c r="A3" s="1" t="s">
        <v>7</v>
      </c>
      <c r="B3" s="2">
        <v>89450</v>
      </c>
      <c r="C3" s="2">
        <v>75340</v>
      </c>
      <c r="D3" s="2">
        <v>98224</v>
      </c>
      <c r="E3" s="2">
        <v>84231</v>
      </c>
      <c r="F3" s="2">
        <v>73455</v>
      </c>
      <c r="G3" s="2">
        <v>97549</v>
      </c>
      <c r="H3" s="2">
        <f>SUM(B3:G3)</f>
        <v>518249</v>
      </c>
      <c r="I3" s="2">
        <f>H3*$I$2</f>
        <v>51824.9</v>
      </c>
      <c r="J3" s="2">
        <f>H3*$J$2</f>
        <v>88102.33</v>
      </c>
      <c r="K3" s="2">
        <f>H3*$K$2</f>
        <v>57007.39</v>
      </c>
    </row>
    <row r="4" spans="1:11" x14ac:dyDescent="0.25">
      <c r="A4" s="1" t="s">
        <v>8</v>
      </c>
      <c r="B4" s="2">
        <v>45210</v>
      </c>
      <c r="C4" s="2">
        <v>28340</v>
      </c>
      <c r="D4" s="2">
        <v>53400</v>
      </c>
      <c r="E4" s="2">
        <v>33199</v>
      </c>
      <c r="F4" s="2">
        <v>40390</v>
      </c>
      <c r="G4" s="2">
        <v>50122</v>
      </c>
      <c r="H4" s="2">
        <f t="shared" ref="H4:H8" si="0">SUM(B4:G4)</f>
        <v>250661</v>
      </c>
      <c r="I4" s="2">
        <f t="shared" ref="I4:I8" si="1">H4*$I$2</f>
        <v>25066.100000000002</v>
      </c>
      <c r="J4" s="2">
        <f t="shared" ref="J4:J8" si="2">H4*$J$2</f>
        <v>42612.37</v>
      </c>
      <c r="K4" s="2">
        <f t="shared" ref="K4:K8" si="3">H4*$K$2</f>
        <v>27572.71</v>
      </c>
    </row>
    <row r="5" spans="1:11" x14ac:dyDescent="0.25">
      <c r="A5" s="1" t="s">
        <v>9</v>
      </c>
      <c r="B5" s="2">
        <v>30219</v>
      </c>
      <c r="C5" s="2">
        <v>28590</v>
      </c>
      <c r="D5" s="2">
        <v>3464</v>
      </c>
      <c r="E5" s="2">
        <v>30891</v>
      </c>
      <c r="F5" s="2">
        <v>35489</v>
      </c>
      <c r="G5" s="2">
        <v>36400</v>
      </c>
      <c r="H5" s="2">
        <f t="shared" si="0"/>
        <v>165053</v>
      </c>
      <c r="I5" s="2">
        <f t="shared" si="1"/>
        <v>16505.3</v>
      </c>
      <c r="J5" s="2">
        <f t="shared" si="2"/>
        <v>28059.010000000002</v>
      </c>
      <c r="K5" s="2">
        <f t="shared" si="3"/>
        <v>18155.830000000002</v>
      </c>
    </row>
    <row r="6" spans="1:11" x14ac:dyDescent="0.25">
      <c r="A6" s="1" t="s">
        <v>10</v>
      </c>
      <c r="B6" s="2">
        <v>65290</v>
      </c>
      <c r="C6" s="2">
        <v>51390</v>
      </c>
      <c r="D6" s="2">
        <v>79334</v>
      </c>
      <c r="E6" s="2">
        <v>72190</v>
      </c>
      <c r="F6" s="2">
        <v>75390</v>
      </c>
      <c r="G6" s="2">
        <v>83219</v>
      </c>
      <c r="H6" s="2">
        <f t="shared" si="0"/>
        <v>426813</v>
      </c>
      <c r="I6" s="2">
        <f t="shared" si="1"/>
        <v>42681.3</v>
      </c>
      <c r="J6" s="2">
        <f t="shared" si="2"/>
        <v>72558.210000000006</v>
      </c>
      <c r="K6" s="2">
        <f t="shared" si="3"/>
        <v>46949.43</v>
      </c>
    </row>
    <row r="7" spans="1:11" x14ac:dyDescent="0.25">
      <c r="A7" s="1" t="s">
        <v>11</v>
      </c>
      <c r="B7" s="2">
        <v>12168</v>
      </c>
      <c r="C7" s="2">
        <v>19355</v>
      </c>
      <c r="D7" s="2">
        <v>45209</v>
      </c>
      <c r="E7" s="2">
        <v>22188</v>
      </c>
      <c r="F7" s="2">
        <v>14228</v>
      </c>
      <c r="G7" s="2">
        <v>38766</v>
      </c>
      <c r="H7" s="2">
        <f t="shared" si="0"/>
        <v>151914</v>
      </c>
      <c r="I7" s="2">
        <f t="shared" si="1"/>
        <v>15191.400000000001</v>
      </c>
      <c r="J7" s="2">
        <f t="shared" si="2"/>
        <v>25825.38</v>
      </c>
      <c r="K7" s="2">
        <f t="shared" si="3"/>
        <v>16710.54</v>
      </c>
    </row>
    <row r="8" spans="1:11" x14ac:dyDescent="0.25">
      <c r="A8" s="1" t="s">
        <v>12</v>
      </c>
      <c r="B8" s="2">
        <v>44329</v>
      </c>
      <c r="C8" s="2">
        <v>21809</v>
      </c>
      <c r="D8" s="2">
        <v>33490</v>
      </c>
      <c r="E8" s="2">
        <v>19765</v>
      </c>
      <c r="F8" s="2">
        <v>50801</v>
      </c>
      <c r="G8" s="2">
        <v>32188</v>
      </c>
      <c r="H8" s="2">
        <f t="shared" si="0"/>
        <v>202382</v>
      </c>
      <c r="I8" s="2">
        <f t="shared" si="1"/>
        <v>20238.2</v>
      </c>
      <c r="J8" s="2">
        <f t="shared" si="2"/>
        <v>34404.94</v>
      </c>
      <c r="K8" s="2">
        <f t="shared" si="3"/>
        <v>22262.02</v>
      </c>
    </row>
    <row r="10" spans="1:11" ht="16.5" thickBot="1" x14ac:dyDescent="0.3"/>
    <row r="11" spans="1:11" ht="23.25" x14ac:dyDescent="0.35">
      <c r="A11" s="12" t="s">
        <v>26</v>
      </c>
    </row>
    <row r="12" spans="1:11" x14ac:dyDescent="0.25">
      <c r="A12" s="13" t="s">
        <v>27</v>
      </c>
    </row>
    <row r="13" spans="1:11" x14ac:dyDescent="0.25">
      <c r="A13" s="13" t="s">
        <v>28</v>
      </c>
    </row>
    <row r="14" spans="1:11" ht="16.5" thickBot="1" x14ac:dyDescent="0.3">
      <c r="A14" s="14" t="s">
        <v>29</v>
      </c>
    </row>
  </sheetData>
  <printOptions horizontalCentered="1" verticalCentered="1"/>
  <pageMargins left="0.7" right="0.7" top="0.75" bottom="0.75" header="0.3" footer="0.3"/>
  <pageSetup scale="80" orientation="landscape" r:id="rId1"/>
  <headerFooter>
    <oddFooter>&amp;C&amp;A&amp;RContestant ID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14"/>
  <sheetViews>
    <sheetView zoomScale="175" zoomScaleNormal="175" workbookViewId="0">
      <selection activeCell="H10" sqref="H10"/>
    </sheetView>
  </sheetViews>
  <sheetFormatPr defaultRowHeight="15.75" x14ac:dyDescent="0.25"/>
  <cols>
    <col min="1" max="1" width="33.140625" style="1" bestFit="1" customWidth="1"/>
    <col min="2" max="2" width="14.28515625" style="1" bestFit="1" customWidth="1"/>
    <col min="3" max="3" width="14.42578125" style="1" bestFit="1" customWidth="1"/>
    <col min="4" max="7" width="12.42578125" style="1" bestFit="1" customWidth="1"/>
    <col min="8" max="8" width="14.28515625" style="1" bestFit="1" customWidth="1"/>
    <col min="9" max="9" width="14.85546875" style="1" bestFit="1" customWidth="1"/>
    <col min="10" max="10" width="11.7109375" style="1" bestFit="1" customWidth="1"/>
    <col min="11" max="11" width="11.28515625" style="1" bestFit="1" customWidth="1"/>
    <col min="12" max="16384" width="9.140625" style="1"/>
  </cols>
  <sheetData>
    <row r="1" spans="1:11" s="4" customFormat="1" ht="30.75" thickBot="1" x14ac:dyDescent="0.3">
      <c r="A1" s="5" t="s">
        <v>0</v>
      </c>
      <c r="B1" s="7" t="s">
        <v>18</v>
      </c>
      <c r="C1" s="7" t="s">
        <v>17</v>
      </c>
      <c r="D1" s="7" t="s">
        <v>19</v>
      </c>
      <c r="E1" s="7" t="s">
        <v>20</v>
      </c>
      <c r="F1" s="7" t="s">
        <v>21</v>
      </c>
      <c r="G1" s="7" t="s">
        <v>22</v>
      </c>
    </row>
    <row r="2" spans="1:11" x14ac:dyDescent="0.25">
      <c r="A2" s="1" t="s">
        <v>7</v>
      </c>
      <c r="B2" s="8">
        <f>SUM('Period 1 Sales:Period 2 Sales'!H3)</f>
        <v>1554747</v>
      </c>
      <c r="C2" s="8">
        <f>SUM('Period 1 Sales:Period 2 Sales'!I3)</f>
        <v>155474.70000000001</v>
      </c>
      <c r="D2" s="8">
        <f>SUM('Period 1 Sales:Period 2 Sales'!J3)</f>
        <v>264306.99</v>
      </c>
      <c r="E2" s="8">
        <f>SUM('Period 1 Sales:Period 2 Sales'!K3)</f>
        <v>171022.16999999998</v>
      </c>
      <c r="F2" s="8">
        <f>SUM(C2:E2)</f>
        <v>590803.86</v>
      </c>
      <c r="G2" s="8">
        <f>B2-F2</f>
        <v>963943.14</v>
      </c>
      <c r="H2" s="2"/>
      <c r="I2" s="2"/>
      <c r="J2" s="2"/>
      <c r="K2" s="2"/>
    </row>
    <row r="3" spans="1:11" x14ac:dyDescent="0.25">
      <c r="A3" s="6" t="s">
        <v>8</v>
      </c>
      <c r="B3" s="9">
        <f>SUM('Period 1 Sales:Period 2 Sales'!H4)</f>
        <v>751983</v>
      </c>
      <c r="C3" s="9">
        <f>SUM('Period 1 Sales:Period 2 Sales'!I4)</f>
        <v>75198.3</v>
      </c>
      <c r="D3" s="9">
        <f>SUM('Period 1 Sales:Period 2 Sales'!J4)</f>
        <v>127837.11000000002</v>
      </c>
      <c r="E3" s="9">
        <f>SUM('Period 1 Sales:Period 2 Sales'!K4)</f>
        <v>82718.13</v>
      </c>
      <c r="F3" s="9">
        <f t="shared" ref="F3:F7" si="0">SUM(C3:E3)</f>
        <v>285753.54000000004</v>
      </c>
      <c r="G3" s="9">
        <f t="shared" ref="G3:G7" si="1">B3-F3</f>
        <v>466229.45999999996</v>
      </c>
      <c r="H3" s="2"/>
      <c r="I3" s="2"/>
      <c r="J3" s="2"/>
      <c r="K3" s="2"/>
    </row>
    <row r="4" spans="1:11" x14ac:dyDescent="0.25">
      <c r="A4" s="1" t="s">
        <v>9</v>
      </c>
      <c r="B4" s="8">
        <f>SUM('Period 1 Sales:Period 2 Sales'!H5)</f>
        <v>495159</v>
      </c>
      <c r="C4" s="8">
        <f>SUM('Period 1 Sales:Period 2 Sales'!I5)</f>
        <v>49515.899999999994</v>
      </c>
      <c r="D4" s="8">
        <f>SUM('Period 1 Sales:Period 2 Sales'!J5)</f>
        <v>84177.03</v>
      </c>
      <c r="E4" s="8">
        <f>SUM('Period 1 Sales:Period 2 Sales'!K5)</f>
        <v>54467.490000000005</v>
      </c>
      <c r="F4" s="8">
        <f t="shared" si="0"/>
        <v>188160.41999999998</v>
      </c>
      <c r="G4" s="8">
        <f t="shared" si="1"/>
        <v>306998.58</v>
      </c>
      <c r="H4" s="2"/>
      <c r="I4" s="2"/>
      <c r="J4" s="2"/>
      <c r="K4" s="2"/>
    </row>
    <row r="5" spans="1:11" x14ac:dyDescent="0.25">
      <c r="A5" s="6" t="s">
        <v>10</v>
      </c>
      <c r="B5" s="9">
        <f>SUM('Period 1 Sales:Period 2 Sales'!H6)</f>
        <v>1280439</v>
      </c>
      <c r="C5" s="9">
        <f>SUM('Period 1 Sales:Period 2 Sales'!I6)</f>
        <v>128043.90000000001</v>
      </c>
      <c r="D5" s="9">
        <f>SUM('Period 1 Sales:Period 2 Sales'!J6)</f>
        <v>217674.63</v>
      </c>
      <c r="E5" s="9">
        <f>SUM('Period 1 Sales:Period 2 Sales'!K6)</f>
        <v>140848.29</v>
      </c>
      <c r="F5" s="9">
        <f t="shared" si="0"/>
        <v>486566.82000000007</v>
      </c>
      <c r="G5" s="9">
        <f t="shared" si="1"/>
        <v>793872.17999999993</v>
      </c>
      <c r="H5" s="2"/>
      <c r="I5" s="2"/>
      <c r="J5" s="2"/>
      <c r="K5" s="2"/>
    </row>
    <row r="6" spans="1:11" x14ac:dyDescent="0.25">
      <c r="A6" s="1" t="s">
        <v>11</v>
      </c>
      <c r="B6" s="8">
        <f>SUM('Period 1 Sales:Period 2 Sales'!H7)</f>
        <v>455742</v>
      </c>
      <c r="C6" s="8">
        <f>SUM('Period 1 Sales:Period 2 Sales'!I7)</f>
        <v>45574.200000000004</v>
      </c>
      <c r="D6" s="8">
        <f>SUM('Period 1 Sales:Period 2 Sales'!J7)</f>
        <v>77476.14</v>
      </c>
      <c r="E6" s="8">
        <f>SUM('Period 1 Sales:Period 2 Sales'!K7)</f>
        <v>50131.62</v>
      </c>
      <c r="F6" s="8">
        <f t="shared" si="0"/>
        <v>173181.96</v>
      </c>
      <c r="G6" s="8">
        <f t="shared" si="1"/>
        <v>282560.04000000004</v>
      </c>
      <c r="H6" s="2"/>
      <c r="I6" s="2"/>
      <c r="J6" s="2"/>
      <c r="K6" s="2"/>
    </row>
    <row r="7" spans="1:11" x14ac:dyDescent="0.25">
      <c r="A7" s="6" t="s">
        <v>12</v>
      </c>
      <c r="B7" s="9">
        <f>SUM('Period 1 Sales:Period 2 Sales'!H8)</f>
        <v>607146</v>
      </c>
      <c r="C7" s="9">
        <f>SUM('Period 1 Sales:Period 2 Sales'!I8)</f>
        <v>60714.600000000006</v>
      </c>
      <c r="D7" s="9">
        <f>SUM('Period 1 Sales:Period 2 Sales'!J8)</f>
        <v>103214.82</v>
      </c>
      <c r="E7" s="9">
        <f>SUM('Period 1 Sales:Period 2 Sales'!K8)</f>
        <v>66786.06</v>
      </c>
      <c r="F7" s="9">
        <f t="shared" si="0"/>
        <v>230715.48</v>
      </c>
      <c r="G7" s="9">
        <f t="shared" si="1"/>
        <v>376430.52</v>
      </c>
      <c r="H7" s="2"/>
      <c r="I7" s="2"/>
      <c r="J7" s="2"/>
      <c r="K7" s="2"/>
    </row>
    <row r="10" spans="1:11" ht="16.5" thickBot="1" x14ac:dyDescent="0.3"/>
    <row r="11" spans="1:11" ht="23.25" x14ac:dyDescent="0.35">
      <c r="A11" s="12" t="s">
        <v>26</v>
      </c>
    </row>
    <row r="12" spans="1:11" x14ac:dyDescent="0.25">
      <c r="A12" s="13" t="s">
        <v>27</v>
      </c>
    </row>
    <row r="13" spans="1:11" x14ac:dyDescent="0.25">
      <c r="A13" s="13" t="s">
        <v>28</v>
      </c>
    </row>
    <row r="14" spans="1:11" ht="16.5" thickBot="1" x14ac:dyDescent="0.3">
      <c r="A14" s="14" t="s">
        <v>29</v>
      </c>
    </row>
  </sheetData>
  <printOptions horizontalCentered="1" verticalCentered="1"/>
  <pageMargins left="0.7" right="0.7" top="0.75" bottom="0.75" header="0.3" footer="0.3"/>
  <pageSetup orientation="landscape" r:id="rId1"/>
  <headerFooter>
    <oddFooter>&amp;C&amp;A&amp;RContestant ID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K14"/>
  <sheetViews>
    <sheetView showFormulas="1" zoomScale="175" zoomScaleNormal="175" workbookViewId="0">
      <selection activeCell="H10" sqref="H10"/>
    </sheetView>
  </sheetViews>
  <sheetFormatPr defaultRowHeight="15.75" x14ac:dyDescent="0.25"/>
  <cols>
    <col min="1" max="1" width="16.7109375" style="1" bestFit="1" customWidth="1"/>
    <col min="2" max="2" width="20.140625" style="1" bestFit="1" customWidth="1"/>
    <col min="3" max="3" width="19.5703125" style="1" bestFit="1" customWidth="1"/>
    <col min="4" max="4" width="19.7109375" style="1" bestFit="1" customWidth="1"/>
    <col min="5" max="5" width="20.140625" style="1" bestFit="1" customWidth="1"/>
    <col min="6" max="6" width="7.5703125" style="1" bestFit="1" customWidth="1"/>
    <col min="7" max="7" width="9" style="1" bestFit="1" customWidth="1"/>
    <col min="8" max="8" width="14.28515625" style="1" bestFit="1" customWidth="1"/>
    <col min="9" max="9" width="14.85546875" style="1" bestFit="1" customWidth="1"/>
    <col min="10" max="10" width="11.7109375" style="1" bestFit="1" customWidth="1"/>
    <col min="11" max="11" width="11.28515625" style="1" bestFit="1" customWidth="1"/>
    <col min="12" max="16384" width="9.140625" style="1"/>
  </cols>
  <sheetData>
    <row r="1" spans="1:11" s="4" customFormat="1" ht="30.75" thickBot="1" x14ac:dyDescent="0.3">
      <c r="A1" s="5" t="s">
        <v>0</v>
      </c>
      <c r="B1" s="7" t="s">
        <v>18</v>
      </c>
      <c r="C1" s="7" t="s">
        <v>17</v>
      </c>
      <c r="D1" s="7" t="s">
        <v>19</v>
      </c>
      <c r="E1" s="7" t="s">
        <v>20</v>
      </c>
      <c r="F1" s="7" t="s">
        <v>21</v>
      </c>
      <c r="G1" s="7" t="s">
        <v>22</v>
      </c>
    </row>
    <row r="2" spans="1:11" x14ac:dyDescent="0.25">
      <c r="A2" s="1" t="s">
        <v>7</v>
      </c>
      <c r="B2" s="8">
        <f>SUM('Period 1 Sales:Period 2 Sales'!H3)</f>
        <v>1554747</v>
      </c>
      <c r="C2" s="8">
        <f>SUM('Period 1 Sales:Period 2 Sales'!I3)</f>
        <v>155474.70000000001</v>
      </c>
      <c r="D2" s="8">
        <f>SUM('Period 1 Sales:Period 2 Sales'!J3)</f>
        <v>264306.99</v>
      </c>
      <c r="E2" s="8">
        <f>SUM('Period 1 Sales:Period 2 Sales'!K3)</f>
        <v>171022.16999999998</v>
      </c>
      <c r="F2" s="8">
        <f>SUM(C2:E2)</f>
        <v>590803.86</v>
      </c>
      <c r="G2" s="8">
        <f>B2-F2</f>
        <v>963943.14</v>
      </c>
      <c r="H2" s="2"/>
      <c r="I2" s="2"/>
      <c r="J2" s="2"/>
      <c r="K2" s="2"/>
    </row>
    <row r="3" spans="1:11" x14ac:dyDescent="0.25">
      <c r="A3" s="6" t="s">
        <v>8</v>
      </c>
      <c r="B3" s="9">
        <f>SUM('Period 1 Sales:Period 2 Sales'!H4)</f>
        <v>751983</v>
      </c>
      <c r="C3" s="9">
        <f>SUM('Period 1 Sales:Period 2 Sales'!I4)</f>
        <v>75198.3</v>
      </c>
      <c r="D3" s="9">
        <f>SUM('Period 1 Sales:Period 2 Sales'!J4)</f>
        <v>127837.11000000002</v>
      </c>
      <c r="E3" s="9">
        <f>SUM('Period 1 Sales:Period 2 Sales'!K4)</f>
        <v>82718.13</v>
      </c>
      <c r="F3" s="9">
        <f t="shared" ref="F3:F7" si="0">SUM(C3:E3)</f>
        <v>285753.54000000004</v>
      </c>
      <c r="G3" s="9">
        <f t="shared" ref="G3:G7" si="1">B3-F3</f>
        <v>466229.45999999996</v>
      </c>
      <c r="H3" s="2"/>
      <c r="I3" s="2"/>
      <c r="J3" s="2"/>
      <c r="K3" s="2"/>
    </row>
    <row r="4" spans="1:11" x14ac:dyDescent="0.25">
      <c r="A4" s="1" t="s">
        <v>9</v>
      </c>
      <c r="B4" s="8">
        <f>SUM('Period 1 Sales:Period 2 Sales'!H5)</f>
        <v>495159</v>
      </c>
      <c r="C4" s="8">
        <f>SUM('Period 1 Sales:Period 2 Sales'!I5)</f>
        <v>49515.899999999994</v>
      </c>
      <c r="D4" s="8">
        <f>SUM('Period 1 Sales:Period 2 Sales'!J5)</f>
        <v>84177.03</v>
      </c>
      <c r="E4" s="8">
        <f>SUM('Period 1 Sales:Period 2 Sales'!K5)</f>
        <v>54467.490000000005</v>
      </c>
      <c r="F4" s="8">
        <f t="shared" si="0"/>
        <v>188160.41999999998</v>
      </c>
      <c r="G4" s="8">
        <f t="shared" si="1"/>
        <v>306998.58</v>
      </c>
      <c r="H4" s="2"/>
      <c r="I4" s="2"/>
      <c r="J4" s="2"/>
      <c r="K4" s="2"/>
    </row>
    <row r="5" spans="1:11" x14ac:dyDescent="0.25">
      <c r="A5" s="6" t="s">
        <v>10</v>
      </c>
      <c r="B5" s="9">
        <f>SUM('Period 1 Sales:Period 2 Sales'!H6)</f>
        <v>1280439</v>
      </c>
      <c r="C5" s="9">
        <f>SUM('Period 1 Sales:Period 2 Sales'!I6)</f>
        <v>128043.90000000001</v>
      </c>
      <c r="D5" s="9">
        <f>SUM('Period 1 Sales:Period 2 Sales'!J6)</f>
        <v>217674.63</v>
      </c>
      <c r="E5" s="9">
        <f>SUM('Period 1 Sales:Period 2 Sales'!K6)</f>
        <v>140848.29</v>
      </c>
      <c r="F5" s="9">
        <f t="shared" si="0"/>
        <v>486566.82000000007</v>
      </c>
      <c r="G5" s="9">
        <f t="shared" si="1"/>
        <v>793872.17999999993</v>
      </c>
      <c r="H5" s="2"/>
      <c r="I5" s="2"/>
      <c r="J5" s="2"/>
      <c r="K5" s="2"/>
    </row>
    <row r="6" spans="1:11" x14ac:dyDescent="0.25">
      <c r="A6" s="1" t="s">
        <v>11</v>
      </c>
      <c r="B6" s="8">
        <f>SUM('Period 1 Sales:Period 2 Sales'!H7)</f>
        <v>455742</v>
      </c>
      <c r="C6" s="8">
        <f>SUM('Period 1 Sales:Period 2 Sales'!I7)</f>
        <v>45574.200000000004</v>
      </c>
      <c r="D6" s="8">
        <f>SUM('Period 1 Sales:Period 2 Sales'!J7)</f>
        <v>77476.14</v>
      </c>
      <c r="E6" s="8">
        <f>SUM('Period 1 Sales:Period 2 Sales'!K7)</f>
        <v>50131.62</v>
      </c>
      <c r="F6" s="8">
        <f t="shared" si="0"/>
        <v>173181.96</v>
      </c>
      <c r="G6" s="8">
        <f t="shared" si="1"/>
        <v>282560.04000000004</v>
      </c>
      <c r="H6" s="2"/>
      <c r="I6" s="2"/>
      <c r="J6" s="2"/>
      <c r="K6" s="2"/>
    </row>
    <row r="7" spans="1:11" x14ac:dyDescent="0.25">
      <c r="A7" s="6" t="s">
        <v>12</v>
      </c>
      <c r="B7" s="9">
        <f>SUM('Period 1 Sales:Period 2 Sales'!H8)</f>
        <v>607146</v>
      </c>
      <c r="C7" s="9">
        <f>SUM('Period 1 Sales:Period 2 Sales'!I8)</f>
        <v>60714.600000000006</v>
      </c>
      <c r="D7" s="9">
        <f>SUM('Period 1 Sales:Period 2 Sales'!J8)</f>
        <v>103214.82</v>
      </c>
      <c r="E7" s="9">
        <f>SUM('Period 1 Sales:Period 2 Sales'!K8)</f>
        <v>66786.06</v>
      </c>
      <c r="F7" s="9">
        <f t="shared" si="0"/>
        <v>230715.48</v>
      </c>
      <c r="G7" s="9">
        <f t="shared" si="1"/>
        <v>376430.52</v>
      </c>
      <c r="H7" s="2"/>
      <c r="I7" s="2"/>
      <c r="J7" s="2"/>
      <c r="K7" s="2"/>
    </row>
    <row r="10" spans="1:11" ht="16.5" thickBot="1" x14ac:dyDescent="0.3"/>
    <row r="11" spans="1:11" ht="23.25" x14ac:dyDescent="0.35">
      <c r="A11" s="12" t="s">
        <v>26</v>
      </c>
    </row>
    <row r="12" spans="1:11" x14ac:dyDescent="0.25">
      <c r="A12" s="13" t="s">
        <v>27</v>
      </c>
    </row>
    <row r="13" spans="1:11" x14ac:dyDescent="0.25">
      <c r="A13" s="13" t="s">
        <v>28</v>
      </c>
    </row>
    <row r="14" spans="1:11" ht="16.5" thickBot="1" x14ac:dyDescent="0.3">
      <c r="A14" s="14" t="s">
        <v>29</v>
      </c>
    </row>
  </sheetData>
  <printOptions horizontalCentered="1" verticalCentered="1"/>
  <pageMargins left="0.7" right="0.7" top="0.75" bottom="0.75" header="0.3" footer="0.3"/>
  <pageSetup scale="54" orientation="landscape" r:id="rId1"/>
  <headerFooter>
    <oddFooter>&amp;C&amp;A&amp;RContestant ID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H3"/>
  <sheetViews>
    <sheetView tabSelected="1" workbookViewId="0">
      <selection activeCell="H10" sqref="H10"/>
    </sheetView>
  </sheetViews>
  <sheetFormatPr defaultRowHeight="15" x14ac:dyDescent="0.25"/>
  <cols>
    <col min="1" max="1" width="24.5703125" bestFit="1" customWidth="1"/>
    <col min="2" max="2" width="18.5703125" bestFit="1" customWidth="1"/>
    <col min="3" max="3" width="16.28515625" customWidth="1"/>
    <col min="4" max="4" width="17.42578125" customWidth="1"/>
    <col min="5" max="5" width="16.7109375" customWidth="1"/>
    <col min="6" max="6" width="15.28515625" customWidth="1"/>
    <col min="7" max="7" width="16.7109375" bestFit="1" customWidth="1"/>
    <col min="8" max="8" width="12.7109375" bestFit="1" customWidth="1"/>
  </cols>
  <sheetData>
    <row r="1" spans="1:8" x14ac:dyDescent="0.25">
      <c r="B1" s="10" t="s">
        <v>25</v>
      </c>
    </row>
    <row r="2" spans="1:8" x14ac:dyDescent="0.25">
      <c r="B2" t="s">
        <v>10</v>
      </c>
      <c r="C2" t="s">
        <v>8</v>
      </c>
      <c r="D2" t="s">
        <v>12</v>
      </c>
      <c r="E2" t="s">
        <v>7</v>
      </c>
      <c r="F2" t="s">
        <v>11</v>
      </c>
      <c r="G2" t="s">
        <v>9</v>
      </c>
      <c r="H2" t="s">
        <v>23</v>
      </c>
    </row>
    <row r="3" spans="1:8" x14ac:dyDescent="0.25">
      <c r="A3" t="s">
        <v>24</v>
      </c>
      <c r="B3" s="11">
        <v>529248.12</v>
      </c>
      <c r="C3" s="11">
        <v>310819.64</v>
      </c>
      <c r="D3" s="11">
        <v>250953.68</v>
      </c>
      <c r="E3" s="11">
        <v>642628.76</v>
      </c>
      <c r="F3" s="11">
        <v>188373.36</v>
      </c>
      <c r="G3" s="11">
        <v>204665.72</v>
      </c>
      <c r="H3" s="11">
        <v>2126689.2800000003</v>
      </c>
    </row>
  </sheetData>
  <printOptions horizontalCentered="1" verticalCentered="1"/>
  <pageMargins left="0.7" right="0.7" top="0.75" bottom="0.75" header="0.3" footer="0.3"/>
  <pageSetup scale="88" orientation="landscape" r:id="rId2"/>
  <headerFooter>
    <oddFooter>&amp;C&amp;A&amp;RContestant ID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"/>
  <sheetViews>
    <sheetView workbookViewId="0">
      <selection activeCell="H10" sqref="H10"/>
    </sheetView>
  </sheetViews>
  <sheetFormatPr defaultRowHeight="15" x14ac:dyDescent="0.25"/>
  <sheetData/>
  <printOptions horizontalCentered="1" verticalCentered="1"/>
  <pageMargins left="0.7" right="0.7" top="0.75" bottom="0.75" header="0.3" footer="0.3"/>
  <pageSetup scale="72" orientation="landscape" r:id="rId1"/>
  <headerFooter>
    <oddFooter>&amp;C&amp;A&amp;RContestant ID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Starting Point</vt:lpstr>
      <vt:lpstr>Period 1 Sales</vt:lpstr>
      <vt:lpstr>Period 1 Sales - Formulas</vt:lpstr>
      <vt:lpstr>Period 2 Sales</vt:lpstr>
      <vt:lpstr>Summary</vt:lpstr>
      <vt:lpstr>Summary - Formulas</vt:lpstr>
      <vt:lpstr>Pivot Information</vt:lpstr>
      <vt:lpstr>Macro</vt:lpstr>
    </vt:vector>
  </TitlesOfParts>
  <Company>Smyrna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Hewes Angie</dc:creator>
  <cp:lastModifiedBy>Hewes Angie</cp:lastModifiedBy>
  <cp:lastPrinted>2020-03-02T23:46:07Z</cp:lastPrinted>
  <dcterms:created xsi:type="dcterms:W3CDTF">2020-03-02T23:03:34Z</dcterms:created>
  <dcterms:modified xsi:type="dcterms:W3CDTF">2020-03-02T23:59:51Z</dcterms:modified>
</cp:coreProperties>
</file>